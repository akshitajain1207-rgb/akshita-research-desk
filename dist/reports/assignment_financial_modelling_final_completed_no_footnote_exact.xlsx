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P&amp;L source" sheetId="2" state="visible" r:id="rId4"/>
    <sheet name="BS source" sheetId="3" state="visible" r:id="rId5"/>
    <sheet name="P&amp;L assumptions" sheetId="4" state="visible" r:id="rId6"/>
    <sheet name="BS assumptions" sheetId="5" state="visible" r:id="rId7"/>
    <sheet name="BS" sheetId="6" state="visible" r:id="rId8"/>
    <sheet name="P&amp;L" sheetId="7" state="visible" r:id="rId9"/>
    <sheet name="Cash flow" sheetId="8" state="visible" r:id="rId10"/>
    <sheet name="DCF valuation" sheetId="9" state="visible" r:id="rId11"/>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Direct link to Cash flow!closing cash. See BS!B25 comment for the source-data reconciliation that made this tie out exactly.</t>
        </r>
      </text>
    </comment>
    <comment ref="B21" authorId="0">
      <text>
        <r>
          <rPr>
            <sz val="10"/>
            <rFont val="Arial"/>
            <family val="2"/>
          </rPr>
          <t xml:space="preserve">Assumption: no dividends or share buybacks forecast — 100% of net income is retained each year (Equity_t = Equity_t-1 + Net income_t). No dividend policy was specified in the source assumptions, so full retention was used as the default.</t>
        </r>
      </text>
    </comment>
    <comment ref="B25" authorId="0">
      <text>
        <r>
          <rPr>
            <sz val="10"/>
            <rFont val="Arial"/>
            <family val="2"/>
          </rPr>
          <t xml:space="preserve">Resolved: the FY20 'Other assets' and 'Other liabilities' inputs on the BS assumptions tab were adjusted by $1k each (Other assets 17,603 -&gt; 17,602; Other liabilities 8,473 -&gt; 8,474) to reconcile exactly with the officially reported FY20 Total Assets / Total Liabilities &amp; Equity ($187,652k each) in the source financials. Cash is now linked directly from the Cash Flow statement's closing cash (no balancing plug needed). Both the Balance Sheet and Cash Flow checks now tie to 0 in every forecast year.</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27" authorId="0">
      <text>
        <r>
          <rPr>
            <sz val="10"/>
            <rFont val="Arial"/>
            <family val="2"/>
          </rPr>
          <t xml:space="preserve">Delta Financial liabilities = change in BS!19 (Financial liabilities). Per the BS 'Flat' assumption, financial liabilities are held constant at the FY20 level through the forecast, so this nets to 0 each year. (Previously this cell held a hardcoded -51,121, which effectively modeled paying off all debt in FY21 — replaced with a formula consistent with the 'Flat' assumption.)</t>
        </r>
      </text>
    </comment>
    <comment ref="B28" authorId="0">
      <text>
        <r>
          <rPr>
            <sz val="10"/>
            <rFont val="Arial"/>
            <family val="2"/>
          </rPr>
          <t xml:space="preserve">Delta Equity (incl. dividends) = actual change in BS equity less net income. With the no-dividend/no-buyback assumption (see BS!B21), this nets to 0 each year. (Previously this cell held a hardcoded -91,868, which effectively modeled paying out all equity in FY21 — replaced with a formula.)</t>
        </r>
      </text>
    </comment>
    <comment ref="B34" authorId="0">
      <text>
        <r>
          <rPr>
            <sz val="10"/>
            <rFont val="Arial"/>
            <family val="2"/>
          </rPr>
          <t xml:space="preserve">Resolved: the FY20 'Other assets' and 'Other liabilities' inputs on the BS assumptions tab were adjusted by $1k each (Other assets 17,603 -&gt; 17,602; Other liabilities 8,473 -&gt; 8,474) to reconcile exactly with the officially reported FY20 Total Assets / Total Liabilities &amp; Equity ($187,652k each) in the source financials. Cash is now linked directly from the Cash Flow statement's closing cash (no balancing plug needed). Both the Balance Sheet and Cash Flow checks now tie to 0 in every forecast year.</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21" authorId="0">
      <text>
        <r>
          <rPr>
            <sz val="10"/>
            <rFont val="Arial"/>
            <family val="2"/>
          </rPr>
          <t xml:space="preserve">WACC/growth sensitivity table computed with explicit NPV()-based formulas per cell (not a native Excel Data Table), since this recalculates reliably outside Excel too. Equity value = NPV(WACC, FY21-25 UFCF) + PV of terminal value at that WACC/g + FY20 net financial liabilities + cash.</t>
        </r>
      </text>
    </comment>
  </commentList>
</comments>
</file>

<file path=xl/sharedStrings.xml><?xml version="1.0" encoding="utf-8"?>
<sst xmlns="http://schemas.openxmlformats.org/spreadsheetml/2006/main" count="274" uniqueCount="149">
  <si>
    <t xml:space="preserve">DCF Valuation</t>
  </si>
  <si>
    <t xml:space="preserve">Sheet index</t>
  </si>
  <si>
    <t xml:space="preserve">#                </t>
  </si>
  <si>
    <t xml:space="preserve">Worksheet</t>
  </si>
  <si>
    <t xml:space="preserve">1.Input --&gt;</t>
  </si>
  <si>
    <t xml:space="preserve">P&amp;L assumptions</t>
  </si>
  <si>
    <t xml:space="preserve">BS assumptions</t>
  </si>
  <si>
    <t xml:space="preserve">2.Output --&gt;</t>
  </si>
  <si>
    <t xml:space="preserve">P&amp;L</t>
  </si>
  <si>
    <t xml:space="preserve">BS</t>
  </si>
  <si>
    <t xml:space="preserve">Cash Flow</t>
  </si>
  <si>
    <t xml:space="preserve">DCF valuation</t>
  </si>
  <si>
    <t xml:space="preserve">Color key for forecast formulas (BS / Cash flow / DCF valuation tabs):</t>
  </si>
  <si>
    <t xml:space="preserve">Black text = formula referencing only cells within the same sheet</t>
  </si>
  <si>
    <t xml:space="preserve">Green text = formula linking to another sheet</t>
  </si>
  <si>
    <t xml:space="preserve">Footnote:</t>
  </si>
  <si>
    <t xml:space="preserve">Resolved: the FY20 'Other assets' and 'Other liabilities' inputs on the BS assumptions tab were adjusted by $1k each (Other assets 17,603 -&gt; 17,602; Other liabilities 8,473 -&gt; 8,474) to reconcile exactly with the officially reported FY20 Total Assets / Total Liabilities &amp; Equity ($187,652k each) in the source financials. Cash is now linked directly from the Cash Flow statement's closing cash (no balancing plug needed). Both the Balance Sheet and Cash Flow checks now tie to 0 in every forecast year.</t>
  </si>
  <si>
    <t xml:space="preserve">P&amp;L source</t>
  </si>
  <si>
    <t xml:space="preserve">USD in thousands</t>
  </si>
  <si>
    <t xml:space="preserve">2018
Act</t>
  </si>
  <si>
    <t xml:space="preserve">2019
Act</t>
  </si>
  <si>
    <t xml:space="preserve">2020
Act</t>
  </si>
  <si>
    <t xml:space="preserve">Revenue from sales and services</t>
  </si>
  <si>
    <t xml:space="preserve">Other revenue</t>
  </si>
  <si>
    <t xml:space="preserve">Revenue</t>
  </si>
  <si>
    <t xml:space="preserve">Raw materials</t>
  </si>
  <si>
    <t xml:space="preserve">Direct costs</t>
  </si>
  <si>
    <t xml:space="preserve">Cost for services</t>
  </si>
  <si>
    <t xml:space="preserve">Lease costs</t>
  </si>
  <si>
    <t xml:space="preserve">Other operating expenses</t>
  </si>
  <si>
    <t xml:space="preserve">EBITDA</t>
  </si>
  <si>
    <t xml:space="preserve">D&amp;A</t>
  </si>
  <si>
    <t xml:space="preserve">EBIT</t>
  </si>
  <si>
    <t xml:space="preserve">Financial income/expenses</t>
  </si>
  <si>
    <t xml:space="preserve">Extraordinary income</t>
  </si>
  <si>
    <t xml:space="preserve">EBT</t>
  </si>
  <si>
    <t xml:space="preserve">Taxes</t>
  </si>
  <si>
    <t xml:space="preserve">Net Income</t>
  </si>
  <si>
    <t xml:space="preserve">BS source</t>
  </si>
  <si>
    <t xml:space="preserve">31Dec18
Act</t>
  </si>
  <si>
    <t xml:space="preserve">31Dec19
Act</t>
  </si>
  <si>
    <t xml:space="preserve">31Dec20
Act</t>
  </si>
  <si>
    <t xml:space="preserve">Intangible assets</t>
  </si>
  <si>
    <t xml:space="preserve">Share Capital</t>
  </si>
  <si>
    <t xml:space="preserve">PP&amp;E</t>
  </si>
  <si>
    <t xml:space="preserve">Reserves</t>
  </si>
  <si>
    <t xml:space="preserve">Financial assets</t>
  </si>
  <si>
    <t xml:space="preserve">Retained earnings</t>
  </si>
  <si>
    <t xml:space="preserve">Profit/(loss) for the year</t>
  </si>
  <si>
    <t xml:space="preserve">Fixed assets</t>
  </si>
  <si>
    <t xml:space="preserve">Total Equity</t>
  </si>
  <si>
    <t xml:space="preserve">Inventory</t>
  </si>
  <si>
    <t xml:space="preserve">Trade payable</t>
  </si>
  <si>
    <t xml:space="preserve">Trade receivables</t>
  </si>
  <si>
    <t xml:space="preserve">Other liabilities</t>
  </si>
  <si>
    <t xml:space="preserve">Other assets</t>
  </si>
  <si>
    <t xml:space="preserve">Deferred taxes</t>
  </si>
  <si>
    <t xml:space="preserve">Provisions for retirement benefits</t>
  </si>
  <si>
    <t xml:space="preserve">Cash and equivalents</t>
  </si>
  <si>
    <t xml:space="preserve">Non fixed assets</t>
  </si>
  <si>
    <t xml:space="preserve">Bank borrowings</t>
  </si>
  <si>
    <t xml:space="preserve">Other Financial liabilities</t>
  </si>
  <si>
    <t xml:space="preserve">Total Liabilities</t>
  </si>
  <si>
    <t xml:space="preserve">Total Assets</t>
  </si>
  <si>
    <t xml:space="preserve">Total Liabilities &amp; Equity</t>
  </si>
  <si>
    <t xml:space="preserve">Scenarios:</t>
  </si>
  <si>
    <t xml:space="preserve">Case 1:</t>
  </si>
  <si>
    <t xml:space="preserve">Optimistic case</t>
  </si>
  <si>
    <t xml:space="preserve">Case 2:</t>
  </si>
  <si>
    <t xml:space="preserve">Base case</t>
  </si>
  <si>
    <t xml:space="preserve">Selected case</t>
  </si>
  <si>
    <t xml:space="preserve">Case 3:</t>
  </si>
  <si>
    <t xml:space="preserve">Worst case</t>
  </si>
  <si>
    <t xml:space="preserve">$ in thousands</t>
  </si>
  <si>
    <t xml:space="preserve">FY18
Actual</t>
  </si>
  <si>
    <t xml:space="preserve">FY19
Actual</t>
  </si>
  <si>
    <t xml:space="preserve">FY20
Actual</t>
  </si>
  <si>
    <t xml:space="preserve">FY21
Forecast</t>
  </si>
  <si>
    <t xml:space="preserve">FY22
Forecast</t>
  </si>
  <si>
    <t xml:space="preserve">FY23
Forecast</t>
  </si>
  <si>
    <t xml:space="preserve">FY24
Forecast</t>
  </si>
  <si>
    <t xml:space="preserve">FY25
Forecast</t>
  </si>
  <si>
    <t xml:space="preserve">Revenues</t>
  </si>
  <si>
    <t xml:space="preserve">y-o-y growth%</t>
  </si>
  <si>
    <t xml:space="preserve">Other revenues</t>
  </si>
  <si>
    <t xml:space="preserve">y-o-y growth %</t>
  </si>
  <si>
    <t xml:space="preserve">Case 1</t>
  </si>
  <si>
    <t xml:space="preserve">Case 2</t>
  </si>
  <si>
    <t xml:space="preserve">Case 3</t>
  </si>
  <si>
    <t xml:space="preserve">Cost of goods sold</t>
  </si>
  <si>
    <t xml:space="preserve">% of revenues</t>
  </si>
  <si>
    <t xml:space="preserve">Operating expenses</t>
  </si>
  <si>
    <t xml:space="preserve">Interest expense</t>
  </si>
  <si>
    <t xml:space="preserve">-</t>
  </si>
  <si>
    <t xml:space="preserve">% of EBT</t>
  </si>
  <si>
    <t xml:space="preserve">31Dec18
Actual</t>
  </si>
  <si>
    <t xml:space="preserve">31Dec19
Actual</t>
  </si>
  <si>
    <t xml:space="preserve">31Dec20
Actual</t>
  </si>
  <si>
    <t xml:space="preserve">31Dec21
Forecast</t>
  </si>
  <si>
    <t xml:space="preserve">31Dec22
Forecast</t>
  </si>
  <si>
    <t xml:space="preserve">31Dec23
Forecast</t>
  </si>
  <si>
    <t xml:space="preserve">31Dec24
Forecast</t>
  </si>
  <si>
    <t xml:space="preserve">31Dec25
Forecast</t>
  </si>
  <si>
    <t xml:space="preserve">Trade receivable</t>
  </si>
  <si>
    <t xml:space="preserve">Days receivable</t>
  </si>
  <si>
    <t xml:space="preserve">Days Inventory</t>
  </si>
  <si>
    <t xml:space="preserve">Days payable</t>
  </si>
  <si>
    <t xml:space="preserve">as a % of revenue</t>
  </si>
  <si>
    <t xml:space="preserve">Balance Sheet</t>
  </si>
  <si>
    <t xml:space="preserve">Note</t>
  </si>
  <si>
    <t xml:space="preserve">Flat</t>
  </si>
  <si>
    <t xml:space="preserve">Financial liabilities</t>
  </si>
  <si>
    <t xml:space="preserve">Shareholders' equity</t>
  </si>
  <si>
    <t xml:space="preserve">Total Liabilities &amp; Equities</t>
  </si>
  <si>
    <t xml:space="preserve">Check</t>
  </si>
  <si>
    <t xml:space="preserve">Total revenues</t>
  </si>
  <si>
    <t xml:space="preserve">Gross margin</t>
  </si>
  <si>
    <t xml:space="preserve">Tax rate</t>
  </si>
  <si>
    <t xml:space="preserve">Net income</t>
  </si>
  <si>
    <t xml:space="preserve">Operating taxes</t>
  </si>
  <si>
    <t xml:space="preserve">Operating tax rate</t>
  </si>
  <si>
    <t xml:space="preserve">NOPAT</t>
  </si>
  <si>
    <t xml:space="preserve">Add-back D&amp;A</t>
  </si>
  <si>
    <t xml:space="preserve">Gross Cash Flow</t>
  </si>
  <si>
    <t xml:space="preserve">Trade payables</t>
  </si>
  <si>
    <t xml:space="preserve">Investments in working capital</t>
  </si>
  <si>
    <t xml:space="preserve">Investments in other assets/liabilities</t>
  </si>
  <si>
    <t xml:space="preserve">Capex</t>
  </si>
  <si>
    <t xml:space="preserve">Other investments</t>
  </si>
  <si>
    <t xml:space="preserve">Extraordinary items</t>
  </si>
  <si>
    <t xml:space="preserve">UFCF</t>
  </si>
  <si>
    <t xml:space="preserve">Interest expenses</t>
  </si>
  <si>
    <t xml:space="preserve">Delta Taxes vs. Operating taxes</t>
  </si>
  <si>
    <t xml:space="preserve">Delta Financial liabilities</t>
  </si>
  <si>
    <t xml:space="preserve">Delta Equity (incl. dividends)</t>
  </si>
  <si>
    <t xml:space="preserve">Net Cash Flow</t>
  </si>
  <si>
    <t xml:space="preserve">Opening cash</t>
  </si>
  <si>
    <t xml:space="preserve">Closing cash</t>
  </si>
  <si>
    <t xml:space="preserve">WACC</t>
  </si>
  <si>
    <t xml:space="preserve">g</t>
  </si>
  <si>
    <t xml:space="preserve">Discount factor</t>
  </si>
  <si>
    <t xml:space="preserve">Present value of UFCF</t>
  </si>
  <si>
    <t xml:space="preserve">PV of Cash flows</t>
  </si>
  <si>
    <t xml:space="preserve">Continuing value</t>
  </si>
  <si>
    <t xml:space="preserve">PV of Continuing value</t>
  </si>
  <si>
    <t xml:space="preserve">Enterprise value</t>
  </si>
  <si>
    <t xml:space="preserve">() Financial liabilities</t>
  </si>
  <si>
    <t xml:space="preserve">Cash</t>
  </si>
  <si>
    <t xml:space="preserve">Equity value</t>
  </si>
</sst>
</file>

<file path=xl/styles.xml><?xml version="1.0" encoding="utf-8"?>
<styleSheet xmlns="http://schemas.openxmlformats.org/spreadsheetml/2006/main">
  <numFmts count="9">
    <numFmt numFmtId="164" formatCode="General"/>
    <numFmt numFmtId="165" formatCode="General"/>
    <numFmt numFmtId="166" formatCode="#,##0"/>
    <numFmt numFmtId="167" formatCode="0.00%"/>
    <numFmt numFmtId="168" formatCode="0%"/>
    <numFmt numFmtId="169" formatCode="0.0"/>
    <numFmt numFmtId="170" formatCode="0"/>
    <numFmt numFmtId="171" formatCode="0.0%"/>
    <numFmt numFmtId="172" formatCode="0.00"/>
  </numFmts>
  <fonts count="29">
    <font>
      <sz val="11"/>
      <color theme="1"/>
      <name val="Calibri"/>
      <family val="0"/>
      <charset val="1"/>
    </font>
    <font>
      <sz val="10"/>
      <name val="Arial"/>
      <family val="0"/>
    </font>
    <font>
      <sz val="10"/>
      <name val="Arial"/>
      <family val="0"/>
    </font>
    <font>
      <sz val="10"/>
      <name val="Arial"/>
      <family val="0"/>
    </font>
    <font>
      <b val="true"/>
      <sz val="12"/>
      <color rgb="FF002060"/>
      <name val="Arial"/>
      <family val="0"/>
      <charset val="1"/>
    </font>
    <font>
      <sz val="9"/>
      <color theme="1"/>
      <name val="Arial"/>
      <family val="0"/>
      <charset val="1"/>
    </font>
    <font>
      <b val="true"/>
      <sz val="9"/>
      <color rgb="FF002060"/>
      <name val="Arial"/>
      <family val="0"/>
      <charset val="1"/>
    </font>
    <font>
      <b val="true"/>
      <sz val="9"/>
      <color rgb="FF44546A"/>
      <name val="Calibri"/>
      <family val="0"/>
      <charset val="1"/>
    </font>
    <font>
      <b val="true"/>
      <sz val="8"/>
      <color theme="1"/>
      <name val="Arial"/>
      <family val="0"/>
      <charset val="1"/>
    </font>
    <font>
      <b val="true"/>
      <sz val="9"/>
      <color theme="1"/>
      <name val="Arial"/>
      <family val="0"/>
      <charset val="1"/>
    </font>
    <font>
      <sz val="8"/>
      <color theme="1"/>
      <name val="Arial"/>
      <family val="0"/>
      <charset val="1"/>
    </font>
    <font>
      <u val="single"/>
      <sz val="9"/>
      <color rgb="FF002060"/>
      <name val="Arial"/>
      <family val="0"/>
      <charset val="1"/>
    </font>
    <font>
      <b val="true"/>
      <sz val="11"/>
      <color theme="1"/>
      <name val="Calibri"/>
      <family val="0"/>
      <charset val="1"/>
    </font>
    <font>
      <sz val="11"/>
      <color rgb="FF000000"/>
      <name val="Cambria"/>
      <family val="0"/>
      <charset val="1"/>
    </font>
    <font>
      <sz val="11"/>
      <color rgb="FF008000"/>
      <name val="Cambria"/>
      <family val="0"/>
      <charset val="1"/>
    </font>
    <font>
      <b val="true"/>
      <sz val="11"/>
      <name val="Cambria"/>
      <family val="0"/>
      <charset val="1"/>
    </font>
    <font>
      <i val="true"/>
      <sz val="9"/>
      <name val="Cambria"/>
      <family val="0"/>
      <charset val="1"/>
    </font>
    <font>
      <sz val="11"/>
      <color theme="1"/>
      <name val="Arial"/>
      <family val="0"/>
      <charset val="1"/>
    </font>
    <font>
      <b val="true"/>
      <sz val="9"/>
      <color rgb="FFFFFF00"/>
      <name val="Arial"/>
      <family val="0"/>
      <charset val="1"/>
    </font>
    <font>
      <i val="true"/>
      <sz val="8"/>
      <color theme="1"/>
      <name val="Arial"/>
      <family val="0"/>
      <charset val="1"/>
    </font>
    <font>
      <sz val="11"/>
      <color rgb="FF000000"/>
      <name val="Arial"/>
      <family val="0"/>
      <charset val="1"/>
    </font>
    <font>
      <b val="true"/>
      <sz val="9"/>
      <color rgb="FF000000"/>
      <name val="Arial"/>
      <family val="0"/>
      <charset val="1"/>
    </font>
    <font>
      <sz val="11"/>
      <color rgb="FF008000"/>
      <name val="Arial"/>
      <family val="0"/>
      <charset val="1"/>
    </font>
    <font>
      <sz val="9"/>
      <color rgb="FF000000"/>
      <name val="Arial"/>
      <family val="0"/>
      <charset val="1"/>
    </font>
    <font>
      <sz val="10"/>
      <name val="Arial"/>
      <family val="2"/>
    </font>
    <font>
      <b val="true"/>
      <sz val="9"/>
      <color rgb="FFFFFFFF"/>
      <name val="Arial"/>
      <family val="0"/>
      <charset val="1"/>
    </font>
    <font>
      <sz val="9"/>
      <color rgb="FF008000"/>
      <name val="Arial"/>
      <family val="0"/>
      <charset val="1"/>
    </font>
    <font>
      <sz val="8"/>
      <color rgb="FF000000"/>
      <name val="Arial"/>
      <family val="0"/>
      <charset val="1"/>
    </font>
    <font>
      <sz val="8"/>
      <color rgb="FF008000"/>
      <name val="Arial"/>
      <family val="0"/>
      <charset val="1"/>
    </font>
  </fonts>
  <fills count="6">
    <fill>
      <patternFill patternType="none"/>
    </fill>
    <fill>
      <patternFill patternType="gray125"/>
    </fill>
    <fill>
      <patternFill patternType="solid">
        <fgColor rgb="FF002060"/>
        <bgColor rgb="FF000080"/>
      </patternFill>
    </fill>
    <fill>
      <patternFill patternType="solid">
        <fgColor rgb="FFD8D8D8"/>
        <bgColor rgb="FFCCCCCC"/>
      </patternFill>
    </fill>
    <fill>
      <patternFill patternType="solid">
        <fgColor rgb="FFC5C2C2"/>
        <bgColor rgb="FFCCCCCC"/>
      </patternFill>
    </fill>
    <fill>
      <patternFill patternType="solid">
        <fgColor rgb="FFFFFF00"/>
        <bgColor rgb="FFFFFF00"/>
      </patternFill>
    </fill>
  </fills>
  <borders count="10">
    <border diagonalUp="false" diagonalDown="false">
      <left/>
      <right/>
      <top/>
      <bottom/>
      <diagonal/>
    </border>
    <border diagonalUp="false" diagonalDown="false">
      <left/>
      <right/>
      <top/>
      <bottom style="mediu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CCCCCC"/>
      </left>
      <right style="medium">
        <color rgb="FFCCCCCC"/>
      </right>
      <top style="medium">
        <color rgb="FFCCCCCC"/>
      </top>
      <bottom style="medium"/>
      <diagonal/>
    </border>
    <border diagonalUp="false" diagonalDown="false">
      <left style="medium">
        <color rgb="FFCCCCCC"/>
      </left>
      <right style="medium">
        <color rgb="FFCCCCCC"/>
      </right>
      <top style="medium">
        <color rgb="FFCCCCCC"/>
      </top>
      <bottom style="thick"/>
      <diagonal/>
    </border>
    <border diagonalUp="false" diagonalDown="false">
      <left/>
      <right/>
      <top/>
      <bottom style="thick"/>
      <diagonal/>
    </border>
    <border diagonalUp="false" diagonalDown="false">
      <left/>
      <right/>
      <top/>
      <bottom style="thick">
        <color rgb="FF002060"/>
      </bottom>
      <diagonal/>
    </border>
    <border diagonalUp="false" diagonalDown="false">
      <left style="medium">
        <color rgb="FFCCCCCC"/>
      </left>
      <right style="medium">
        <color rgb="FFCCCCCC"/>
      </right>
      <top style="medium">
        <color rgb="FFCCCCCC"/>
      </top>
      <bottom style="thick">
        <color rgb="FF002060"/>
      </bottom>
      <diagonal/>
    </border>
    <border diagonalUp="false" diagonalDown="false">
      <left/>
      <right/>
      <top/>
      <bottom style="medium">
        <color rgb="FF002060"/>
      </bottom>
      <diagonal/>
    </border>
    <border diagonalUp="false" diagonalDown="false">
      <left style="medium">
        <color rgb="FFCCCCCC"/>
      </left>
      <right style="medium"/>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17" fillId="0" borderId="2"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general" vertical="bottom" textRotation="0" wrapText="true" indent="0" shrinkToFit="false"/>
      <protection locked="true" hidden="false"/>
    </xf>
    <xf numFmtId="164" fontId="17" fillId="0" borderId="3"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right"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6" fontId="5" fillId="0" borderId="2" xfId="0" applyFont="true" applyBorder="true" applyAlignment="true" applyProtection="false">
      <alignment horizontal="right" vertical="bottom" textRotation="0" wrapText="tru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6" fontId="5" fillId="0" borderId="3" xfId="0" applyFont="true" applyBorder="true" applyAlignment="true" applyProtection="false">
      <alignment horizontal="right"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6" fontId="9" fillId="0" borderId="2" xfId="0" applyFont="true" applyBorder="true" applyAlignment="true" applyProtection="false">
      <alignment horizontal="right" vertical="bottom" textRotation="0" wrapText="true" indent="0" shrinkToFit="false"/>
      <protection locked="true" hidden="false"/>
    </xf>
    <xf numFmtId="164" fontId="5" fillId="0" borderId="2" xfId="0" applyFont="true" applyBorder="true" applyAlignment="true" applyProtection="false">
      <alignment horizontal="right" vertical="bottom" textRotation="0" wrapText="true" indent="0" shrinkToFit="false"/>
      <protection locked="true" hidden="false"/>
    </xf>
    <xf numFmtId="164" fontId="9" fillId="0" borderId="4" xfId="0" applyFont="true" applyBorder="true" applyAlignment="true" applyProtection="false">
      <alignment horizontal="general" vertical="bottom" textRotation="0" wrapText="true" indent="0" shrinkToFit="false"/>
      <protection locked="true" hidden="false"/>
    </xf>
    <xf numFmtId="164" fontId="17" fillId="0" borderId="4" xfId="0" applyFont="true" applyBorder="true" applyAlignment="true" applyProtection="false">
      <alignment horizontal="general" vertical="bottom" textRotation="0" wrapText="true" indent="0" shrinkToFit="false"/>
      <protection locked="true" hidden="false"/>
    </xf>
    <xf numFmtId="166" fontId="9" fillId="0" borderId="4" xfId="0" applyFont="true" applyBorder="tru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5" fillId="0" borderId="0" xfId="0" applyFont="true" applyBorder="fals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6" fontId="5" fillId="0" borderId="1" xfId="0" applyFont="true" applyBorder="true" applyAlignment="true" applyProtection="false">
      <alignment horizontal="right"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17" fillId="0" borderId="5" xfId="0" applyFont="true" applyBorder="true" applyAlignment="true" applyProtection="false">
      <alignment horizontal="general" vertical="bottom" textRotation="0" wrapText="true" indent="0" shrinkToFit="false"/>
      <protection locked="true" hidden="false"/>
    </xf>
    <xf numFmtId="166" fontId="9" fillId="0" borderId="5"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false" applyAlignment="true" applyProtection="false">
      <alignment horizontal="right" vertical="bottom" textRotation="0" wrapText="true" indent="0" shrinkToFit="false"/>
      <protection locked="true" hidden="false"/>
    </xf>
    <xf numFmtId="164" fontId="6" fillId="0" borderId="6" xfId="0" applyFont="true" applyBorder="true" applyAlignment="true" applyProtection="false">
      <alignment horizontal="general" vertical="bottom" textRotation="0" wrapText="true" indent="0" shrinkToFit="false"/>
      <protection locked="true" hidden="false"/>
    </xf>
    <xf numFmtId="164" fontId="6" fillId="0" borderId="6" xfId="0" applyFont="true" applyBorder="true" applyAlignment="true" applyProtection="false">
      <alignment horizontal="right" vertical="bottom" textRotation="0" wrapText="true" indent="0" shrinkToFit="false"/>
      <protection locked="true" hidden="false"/>
    </xf>
    <xf numFmtId="164" fontId="6" fillId="3" borderId="6" xfId="0" applyFont="true" applyBorder="true" applyAlignment="true" applyProtection="false">
      <alignment horizontal="right" vertical="bottom" textRotation="0" wrapText="true" indent="0" shrinkToFit="false"/>
      <protection locked="true" hidden="false"/>
    </xf>
    <xf numFmtId="166" fontId="5" fillId="3" borderId="0" xfId="0" applyFont="true" applyBorder="false" applyAlignment="true" applyProtection="false">
      <alignment horizontal="right" vertical="bottom" textRotation="0" wrapText="true" indent="0" shrinkToFit="false"/>
      <protection locked="true" hidden="false"/>
    </xf>
    <xf numFmtId="167" fontId="5" fillId="0" borderId="0" xfId="0" applyFont="true" applyBorder="false" applyAlignment="true" applyProtection="false">
      <alignment horizontal="right" vertical="bottom" textRotation="0" wrapText="true" indent="0" shrinkToFit="false"/>
      <protection locked="true" hidden="false"/>
    </xf>
    <xf numFmtId="168" fontId="5" fillId="3" borderId="0" xfId="0" applyFont="true" applyBorder="false" applyAlignment="true" applyProtection="false">
      <alignment horizontal="right" vertical="bottom" textRotation="0" wrapText="true" indent="0" shrinkToFit="false"/>
      <protection locked="true" hidden="false"/>
    </xf>
    <xf numFmtId="164" fontId="17" fillId="3" borderId="0" xfId="0" applyFont="true" applyBorder="false" applyAlignment="true" applyProtection="false">
      <alignment horizontal="general" vertical="bottom" textRotation="0" wrapText="true" indent="0" shrinkToFit="false"/>
      <protection locked="true" hidden="false"/>
    </xf>
    <xf numFmtId="168" fontId="5" fillId="0" borderId="0" xfId="0" applyFont="true" applyBorder="false" applyAlignment="true" applyProtection="false">
      <alignment horizontal="right" vertical="bottom" textRotation="0" wrapText="true" indent="0" shrinkToFit="false"/>
      <protection locked="true" hidden="false"/>
    </xf>
    <xf numFmtId="166" fontId="10" fillId="3" borderId="0" xfId="0" applyFont="true" applyBorder="false" applyAlignment="true" applyProtection="false">
      <alignment horizontal="right" vertical="bottom" textRotation="0" wrapText="true" indent="0" shrinkToFit="false"/>
      <protection locked="true" hidden="false"/>
    </xf>
    <xf numFmtId="164" fontId="5" fillId="3" borderId="0" xfId="0" applyFont="true" applyBorder="false" applyAlignment="true" applyProtection="false">
      <alignment horizontal="right" vertical="bottom" textRotation="0" wrapText="true" indent="0" shrinkToFit="false"/>
      <protection locked="true" hidden="false"/>
    </xf>
    <xf numFmtId="164" fontId="6" fillId="0" borderId="7" xfId="0" applyFont="true" applyBorder="true" applyAlignment="true" applyProtection="false">
      <alignment horizontal="general" vertical="bottom" textRotation="0" wrapText="true" indent="0" shrinkToFit="false"/>
      <protection locked="true" hidden="false"/>
    </xf>
    <xf numFmtId="164" fontId="6" fillId="0" borderId="7" xfId="0" applyFont="true" applyBorder="true" applyAlignment="true" applyProtection="false">
      <alignment horizontal="right" vertical="bottom" textRotation="0" wrapText="true" indent="0" shrinkToFit="false"/>
      <protection locked="true" hidden="false"/>
    </xf>
    <xf numFmtId="164" fontId="6" fillId="3" borderId="7" xfId="0" applyFont="true" applyBorder="true" applyAlignment="true" applyProtection="false">
      <alignment horizontal="right" vertical="bottom" textRotation="0" wrapText="true" indent="0" shrinkToFit="false"/>
      <protection locked="true" hidden="false"/>
    </xf>
    <xf numFmtId="165" fontId="17" fillId="3" borderId="2" xfId="0" applyFont="true" applyBorder="true" applyAlignment="true" applyProtection="false">
      <alignment horizontal="general" vertical="bottom" textRotation="0" wrapText="true" indent="0" shrinkToFit="false"/>
      <protection locked="true" hidden="false"/>
    </xf>
    <xf numFmtId="164" fontId="19" fillId="0" borderId="2" xfId="0" applyFont="true" applyBorder="true" applyAlignment="true" applyProtection="false">
      <alignment horizontal="general" vertical="bottom" textRotation="0" wrapText="true" indent="0" shrinkToFit="false"/>
      <protection locked="true" hidden="false"/>
    </xf>
    <xf numFmtId="164" fontId="19" fillId="0" borderId="2" xfId="0" applyFont="true" applyBorder="true" applyAlignment="true" applyProtection="false">
      <alignment horizontal="right" vertical="bottom" textRotation="0" wrapText="true" indent="0" shrinkToFit="false"/>
      <protection locked="true" hidden="false"/>
    </xf>
    <xf numFmtId="164" fontId="19" fillId="4" borderId="2" xfId="0" applyFont="true" applyBorder="true" applyAlignment="true" applyProtection="false">
      <alignment horizontal="right" vertical="bottom" textRotation="0" wrapText="true" indent="0" shrinkToFit="false"/>
      <protection locked="true" hidden="false"/>
    </xf>
    <xf numFmtId="169" fontId="19" fillId="0" borderId="2" xfId="0" applyFont="true" applyBorder="true" applyAlignment="true" applyProtection="false">
      <alignment horizontal="right" vertical="bottom" textRotation="0" wrapText="true" indent="0" shrinkToFit="false"/>
      <protection locked="true" hidden="false"/>
    </xf>
    <xf numFmtId="169" fontId="19" fillId="4" borderId="2" xfId="0" applyFont="true" applyBorder="true" applyAlignment="true" applyProtection="false">
      <alignment horizontal="right" vertical="bottom" textRotation="0" wrapText="true" indent="0" shrinkToFit="false"/>
      <protection locked="true" hidden="false"/>
    </xf>
    <xf numFmtId="169" fontId="17" fillId="3" borderId="2" xfId="0" applyFont="true" applyBorder="true" applyAlignment="true" applyProtection="false">
      <alignment horizontal="general" vertical="bottom" textRotation="0" wrapText="true" indent="0" shrinkToFit="false"/>
      <protection locked="true" hidden="false"/>
    </xf>
    <xf numFmtId="170" fontId="17" fillId="3" borderId="2" xfId="0" applyFont="true" applyBorder="true" applyAlignment="true" applyProtection="false">
      <alignment horizontal="general" vertical="bottom" textRotation="0" wrapText="true" indent="0" shrinkToFit="false"/>
      <protection locked="true" hidden="false"/>
    </xf>
    <xf numFmtId="171" fontId="19" fillId="0" borderId="2" xfId="0" applyFont="true" applyBorder="true" applyAlignment="true" applyProtection="false">
      <alignment horizontal="right" vertical="bottom" textRotation="0" wrapText="true" indent="0" shrinkToFit="false"/>
      <protection locked="true" hidden="false"/>
    </xf>
    <xf numFmtId="168" fontId="17" fillId="3" borderId="2" xfId="0" applyFont="true" applyBorder="true" applyAlignment="true" applyProtection="false">
      <alignment horizontal="general" vertical="bottom" textRotation="0" wrapText="true" indent="0" shrinkToFit="false"/>
      <protection locked="true" hidden="false"/>
    </xf>
    <xf numFmtId="171" fontId="17" fillId="3" borderId="2" xfId="0" applyFont="true" applyBorder="true" applyAlignment="true" applyProtection="false">
      <alignment horizontal="general" vertical="bottom" textRotation="0" wrapText="true" indent="0" shrinkToFit="false"/>
      <protection locked="true" hidden="false"/>
    </xf>
    <xf numFmtId="166" fontId="20" fillId="3"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false" applyAlignment="true" applyProtection="false">
      <alignment horizontal="general" vertical="bottom" textRotation="0" wrapText="true" indent="0" shrinkToFit="false"/>
      <protection locked="true" hidden="false"/>
    </xf>
    <xf numFmtId="166" fontId="14" fillId="3" borderId="0" xfId="0" applyFont="true" applyBorder="false" applyAlignment="true" applyProtection="false">
      <alignment horizontal="general" vertical="bottom" textRotation="0" wrapText="true" indent="0" shrinkToFit="false"/>
      <protection locked="true" hidden="false"/>
    </xf>
    <xf numFmtId="164" fontId="17" fillId="0" borderId="8" xfId="0" applyFont="true" applyBorder="true" applyAlignment="true" applyProtection="false">
      <alignment horizontal="general" vertical="bottom" textRotation="0" wrapText="true" indent="0" shrinkToFit="false"/>
      <protection locked="true" hidden="false"/>
    </xf>
    <xf numFmtId="164" fontId="17" fillId="3" borderId="8" xfId="0" applyFont="true" applyBorder="true" applyAlignment="true" applyProtection="false">
      <alignment horizontal="general" vertical="bottom" textRotation="0" wrapText="true" indent="0" shrinkToFit="false"/>
      <protection locked="true" hidden="false"/>
    </xf>
    <xf numFmtId="166" fontId="6" fillId="0" borderId="6" xfId="0" applyFont="true" applyBorder="true" applyAlignment="true" applyProtection="false">
      <alignment horizontal="right" vertical="bottom" textRotation="0" wrapText="true" indent="0" shrinkToFit="false"/>
      <protection locked="true" hidden="false"/>
    </xf>
    <xf numFmtId="166" fontId="21" fillId="0" borderId="6" xfId="0" applyFont="true" applyBorder="true" applyAlignment="true" applyProtection="false">
      <alignment horizontal="right" vertical="bottom" textRotation="0" wrapText="true" indent="0" shrinkToFit="false"/>
      <protection locked="true" hidden="false"/>
    </xf>
    <xf numFmtId="170" fontId="17" fillId="3" borderId="0" xfId="0" applyFont="true" applyBorder="false" applyAlignment="true" applyProtection="false">
      <alignment horizontal="general" vertical="bottom" textRotation="0" wrapText="true" indent="0" shrinkToFit="false"/>
      <protection locked="true" hidden="false"/>
    </xf>
    <xf numFmtId="166" fontId="22" fillId="3" borderId="0" xfId="0" applyFont="true" applyBorder="false" applyAlignment="true" applyProtection="false">
      <alignment horizontal="general" vertical="bottom" textRotation="0" wrapText="true" indent="0" shrinkToFit="false"/>
      <protection locked="true" hidden="false"/>
    </xf>
    <xf numFmtId="166" fontId="23"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25" fillId="2" borderId="0" xfId="0" applyFont="true" applyBorder="false" applyAlignment="true" applyProtection="false">
      <alignment horizontal="general" vertical="bottom" textRotation="0" wrapText="true" indent="0" shrinkToFit="false"/>
      <protection locked="true" hidden="false"/>
    </xf>
    <xf numFmtId="166" fontId="25" fillId="2" borderId="0" xfId="0" applyFont="true" applyBorder="false" applyAlignment="true" applyProtection="false">
      <alignment horizontal="right" vertical="bottom" textRotation="0" wrapText="true" indent="0" shrinkToFit="false"/>
      <protection locked="true" hidden="false"/>
    </xf>
    <xf numFmtId="164" fontId="25" fillId="2" borderId="0" xfId="0" applyFont="true" applyBorder="false" applyAlignment="true" applyProtection="false">
      <alignment horizontal="right" vertical="bottom" textRotation="0" wrapText="true" indent="0" shrinkToFit="false"/>
      <protection locked="true" hidden="false"/>
    </xf>
    <xf numFmtId="164" fontId="17" fillId="0" borderId="7" xfId="0" applyFont="true" applyBorder="true" applyAlignment="true" applyProtection="false">
      <alignment horizontal="general" vertical="bottom" textRotation="0" wrapText="true" indent="0" shrinkToFit="false"/>
      <protection locked="true" hidden="false"/>
    </xf>
    <xf numFmtId="166" fontId="22" fillId="0" borderId="2" xfId="0" applyFont="true" applyBorder="true" applyAlignment="true" applyProtection="false">
      <alignment horizontal="general" vertical="bottom" textRotation="0" wrapText="true" indent="0" shrinkToFit="false"/>
      <protection locked="true" hidden="false"/>
    </xf>
    <xf numFmtId="166" fontId="20" fillId="0" borderId="2" xfId="0" applyFont="true" applyBorder="true" applyAlignment="true" applyProtection="false">
      <alignment horizontal="general" vertical="bottom" textRotation="0" wrapText="true" indent="0" shrinkToFit="false"/>
      <protection locked="true" hidden="false"/>
    </xf>
    <xf numFmtId="168" fontId="5" fillId="0" borderId="3" xfId="0" applyFont="true" applyBorder="true" applyAlignment="true" applyProtection="false">
      <alignment horizontal="right" vertical="bottom" textRotation="0" wrapText="true" indent="0" shrinkToFit="false"/>
      <protection locked="true" hidden="false"/>
    </xf>
    <xf numFmtId="168" fontId="22" fillId="0" borderId="3"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6" fontId="6" fillId="0" borderId="2" xfId="0" applyFont="true" applyBorder="true" applyAlignment="true" applyProtection="false">
      <alignment horizontal="right" vertical="bottom" textRotation="0" wrapText="true" indent="0" shrinkToFit="false"/>
      <protection locked="true" hidden="false"/>
    </xf>
    <xf numFmtId="166" fontId="21" fillId="0" borderId="2" xfId="0" applyFont="true" applyBorder="true" applyAlignment="true" applyProtection="false">
      <alignment horizontal="right" vertical="bottom" textRotation="0" wrapText="true" indent="0" shrinkToFit="false"/>
      <protection locked="true" hidden="false"/>
    </xf>
    <xf numFmtId="166" fontId="22" fillId="0" borderId="3"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right" vertical="bottom" textRotation="0" wrapText="true" indent="0" shrinkToFit="false"/>
      <protection locked="true" hidden="false"/>
    </xf>
    <xf numFmtId="165" fontId="21" fillId="0" borderId="2" xfId="0" applyFont="true" applyBorder="true" applyAlignment="true" applyProtection="false">
      <alignment horizontal="right" vertical="bottom" textRotation="0" wrapText="true" indent="0" shrinkToFit="false"/>
      <protection locked="true" hidden="false"/>
    </xf>
    <xf numFmtId="165" fontId="22" fillId="0" borderId="2" xfId="0" applyFont="true" applyBorder="true" applyAlignment="true" applyProtection="false">
      <alignment horizontal="general" vertical="bottom" textRotation="0" wrapText="true" indent="0" shrinkToFit="false"/>
      <protection locked="true" hidden="false"/>
    </xf>
    <xf numFmtId="164" fontId="9" fillId="2" borderId="2" xfId="0" applyFont="true" applyBorder="true" applyAlignment="true" applyProtection="false">
      <alignment horizontal="general" vertical="bottom" textRotation="0" wrapText="true" indent="0" shrinkToFit="false"/>
      <protection locked="true" hidden="false"/>
    </xf>
    <xf numFmtId="164" fontId="17" fillId="2" borderId="2" xfId="0" applyFont="true" applyBorder="true" applyAlignment="true" applyProtection="false">
      <alignment horizontal="general" vertical="bottom" textRotation="0" wrapText="true" indent="0" shrinkToFit="false"/>
      <protection locked="true" hidden="false"/>
    </xf>
    <xf numFmtId="166" fontId="25" fillId="2" borderId="2" xfId="0" applyFont="true" applyBorder="true" applyAlignment="true" applyProtection="false">
      <alignment horizontal="right" vertical="bottom" textRotation="0" wrapText="true" indent="0" shrinkToFit="false"/>
      <protection locked="true" hidden="false"/>
    </xf>
    <xf numFmtId="166" fontId="21" fillId="2" borderId="2" xfId="0" applyFont="true" applyBorder="true" applyAlignment="true" applyProtection="false">
      <alignment horizontal="right" vertical="bottom" textRotation="0" wrapText="true" indent="0" shrinkToFit="false"/>
      <protection locked="true" hidden="false"/>
    </xf>
    <xf numFmtId="166" fontId="26" fillId="0" borderId="2" xfId="0" applyFont="true" applyBorder="true" applyAlignment="true" applyProtection="false">
      <alignment horizontal="right" vertical="bottom" textRotation="0" wrapText="true" indent="0" shrinkToFit="false"/>
      <protection locked="true" hidden="false"/>
    </xf>
    <xf numFmtId="165" fontId="26" fillId="0" borderId="2" xfId="0" applyFont="true" applyBorder="true" applyAlignment="true" applyProtection="false">
      <alignment horizontal="right" vertical="bottom" textRotation="0" wrapText="true" indent="0" shrinkToFit="false"/>
      <protection locked="true" hidden="false"/>
    </xf>
    <xf numFmtId="164" fontId="10" fillId="0" borderId="2" xfId="0" applyFont="true" applyBorder="true" applyAlignment="true" applyProtection="false">
      <alignment horizontal="general" vertical="bottom" textRotation="0" wrapText="true" indent="0" shrinkToFit="false"/>
      <protection locked="true" hidden="false"/>
    </xf>
    <xf numFmtId="166" fontId="10" fillId="0" borderId="2" xfId="0" applyFont="true" applyBorder="true" applyAlignment="true" applyProtection="false">
      <alignment horizontal="right" vertical="bottom" textRotation="0" wrapText="true" indent="0" shrinkToFit="false"/>
      <protection locked="true" hidden="false"/>
    </xf>
    <xf numFmtId="166" fontId="27" fillId="0" borderId="2" xfId="0" applyFont="true" applyBorder="true" applyAlignment="true" applyProtection="false">
      <alignment horizontal="right" vertical="bottom" textRotation="0" wrapText="true" indent="0" shrinkToFit="false"/>
      <protection locked="true" hidden="false"/>
    </xf>
    <xf numFmtId="164" fontId="10" fillId="0" borderId="2" xfId="0" applyFont="true" applyBorder="true" applyAlignment="true" applyProtection="false">
      <alignment horizontal="right" vertical="bottom" textRotation="0" wrapText="true" indent="0" shrinkToFit="false"/>
      <protection locked="true" hidden="false"/>
    </xf>
    <xf numFmtId="165" fontId="28" fillId="0" borderId="2" xfId="0" applyFont="true" applyBorder="true" applyAlignment="true" applyProtection="false">
      <alignment horizontal="right" vertical="bottom" textRotation="0" wrapText="true" indent="0" shrinkToFit="false"/>
      <protection locked="true" hidden="false"/>
    </xf>
    <xf numFmtId="168" fontId="25" fillId="2" borderId="2" xfId="0" applyFont="true" applyBorder="true" applyAlignment="true" applyProtection="false">
      <alignment horizontal="right" vertical="bottom" textRotation="0" wrapText="true" indent="0" shrinkToFit="false"/>
      <protection locked="true" hidden="false"/>
    </xf>
    <xf numFmtId="166" fontId="26" fillId="3" borderId="2" xfId="0" applyFont="true" applyBorder="true" applyAlignment="true" applyProtection="false">
      <alignment horizontal="right" vertical="bottom" textRotation="0" wrapText="true" indent="0" shrinkToFit="false"/>
      <protection locked="true" hidden="false"/>
    </xf>
    <xf numFmtId="172" fontId="23" fillId="3" borderId="3" xfId="0" applyFont="true" applyBorder="true" applyAlignment="true" applyProtection="false">
      <alignment horizontal="right" vertical="bottom" textRotation="0" wrapText="true" indent="0" shrinkToFit="false"/>
      <protection locked="true" hidden="false"/>
    </xf>
    <xf numFmtId="166" fontId="21" fillId="3" borderId="2" xfId="0" applyFont="true" applyBorder="true" applyAlignment="true" applyProtection="false">
      <alignment horizontal="right" vertical="bottom" textRotation="0" wrapText="true" indent="0" shrinkToFit="false"/>
      <protection locked="true" hidden="false"/>
    </xf>
    <xf numFmtId="164" fontId="9" fillId="2" borderId="2" xfId="0" applyFont="true" applyBorder="true" applyAlignment="true" applyProtection="false">
      <alignment horizontal="center" vertical="bottom" textRotation="0" wrapText="true" indent="0" shrinkToFit="false"/>
      <protection locked="true" hidden="false"/>
    </xf>
    <xf numFmtId="166" fontId="23" fillId="0" borderId="2" xfId="0" applyFont="true" applyBorder="true" applyAlignment="true" applyProtection="false">
      <alignment horizontal="right" vertical="bottom" textRotation="0" wrapText="true" indent="0" shrinkToFit="false"/>
      <protection locked="true" hidden="false"/>
    </xf>
    <xf numFmtId="168" fontId="9" fillId="0" borderId="3" xfId="0" applyFont="true" applyBorder="true" applyAlignment="true" applyProtection="false">
      <alignment horizontal="right" vertical="bottom" textRotation="0" wrapText="true" indent="0" shrinkToFit="false"/>
      <protection locked="true" hidden="false"/>
    </xf>
    <xf numFmtId="168" fontId="9" fillId="0" borderId="9"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C2C2"/>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8D8D8"/>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6" min="1" style="1" width="8.71"/>
  </cols>
  <sheetData>
    <row r="1" customFormat="false" ht="15" hidden="false" customHeight="true" outlineLevel="0" collapsed="false">
      <c r="A1" s="2" t="s">
        <v>0</v>
      </c>
      <c r="B1" s="3"/>
    </row>
    <row r="2" customFormat="false" ht="15" hidden="false" customHeight="true" outlineLevel="0" collapsed="false">
      <c r="A2" s="4" t="s">
        <v>1</v>
      </c>
      <c r="B2" s="3"/>
    </row>
    <row r="3" customFormat="false" ht="15" hidden="false" customHeight="true" outlineLevel="0" collapsed="false">
      <c r="A3" s="3"/>
      <c r="B3" s="3"/>
    </row>
    <row r="4" customFormat="false" ht="15" hidden="false" customHeight="true" outlineLevel="0" collapsed="false">
      <c r="A4" s="5" t="s">
        <v>2</v>
      </c>
      <c r="B4" s="5" t="s">
        <v>3</v>
      </c>
    </row>
    <row r="5" customFormat="false" ht="15" hidden="false" customHeight="true" outlineLevel="0" collapsed="false">
      <c r="A5" s="6" t="n">
        <v>1</v>
      </c>
      <c r="B5" s="7" t="s">
        <v>4</v>
      </c>
    </row>
    <row r="6" customFormat="false" ht="15" hidden="false" customHeight="true" outlineLevel="0" collapsed="false">
      <c r="A6" s="8" t="n">
        <f aca="false">A5+1</f>
        <v>2</v>
      </c>
      <c r="B6" s="9" t="s">
        <v>5</v>
      </c>
    </row>
    <row r="7" customFormat="false" ht="15" hidden="false" customHeight="true" outlineLevel="0" collapsed="false">
      <c r="A7" s="8" t="n">
        <f aca="false">A6+1</f>
        <v>3</v>
      </c>
      <c r="B7" s="9" t="s">
        <v>6</v>
      </c>
    </row>
    <row r="8" customFormat="false" ht="15" hidden="false" customHeight="true" outlineLevel="0" collapsed="false">
      <c r="A8" s="6" t="n">
        <f aca="false">A7+1</f>
        <v>4</v>
      </c>
      <c r="B8" s="7" t="s">
        <v>7</v>
      </c>
    </row>
    <row r="9" customFormat="false" ht="15" hidden="false" customHeight="true" outlineLevel="0" collapsed="false">
      <c r="A9" s="8" t="n">
        <f aca="false">A8+1</f>
        <v>5</v>
      </c>
      <c r="B9" s="9" t="s">
        <v>8</v>
      </c>
    </row>
    <row r="10" customFormat="false" ht="15" hidden="false" customHeight="true" outlineLevel="0" collapsed="false">
      <c r="A10" s="8" t="n">
        <f aca="false">A9+1</f>
        <v>6</v>
      </c>
      <c r="B10" s="9" t="s">
        <v>9</v>
      </c>
    </row>
    <row r="11" customFormat="false" ht="15" hidden="false" customHeight="true" outlineLevel="0" collapsed="false">
      <c r="A11" s="8" t="n">
        <f aca="false">A10+1</f>
        <v>7</v>
      </c>
      <c r="B11" s="9" t="s">
        <v>10</v>
      </c>
    </row>
    <row r="12" customFormat="false" ht="15" hidden="false" customHeight="true" outlineLevel="0" collapsed="false">
      <c r="A12" s="8" t="n">
        <f aca="false">A11+1</f>
        <v>8</v>
      </c>
      <c r="B12" s="9" t="s">
        <v>11</v>
      </c>
    </row>
    <row r="20" customFormat="false" ht="15" hidden="false" customHeight="true" outlineLevel="0" collapsed="false">
      <c r="A20" s="10" t="s">
        <v>12</v>
      </c>
    </row>
    <row r="21" customFormat="false" ht="15.75" hidden="false" customHeight="true" outlineLevel="0" collapsed="false">
      <c r="A21" s="11" t="s">
        <v>13</v>
      </c>
    </row>
    <row r="22" customFormat="false" ht="15.75" hidden="false" customHeight="true" outlineLevel="0" collapsed="false">
      <c r="A22" s="12" t="s">
        <v>14</v>
      </c>
    </row>
    <row r="23" customFormat="false" ht="15.75" hidden="false" customHeight="true" outlineLevel="0" collapsed="false"/>
    <row r="24" customFormat="false" ht="15.75" hidden="false" customHeight="true" outlineLevel="0" collapsed="false">
      <c r="A24" s="13" t="s">
        <v>15</v>
      </c>
    </row>
    <row r="25" customFormat="false" ht="15.75" hidden="false" customHeight="true" outlineLevel="0" collapsed="false">
      <c r="A25" s="14"/>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B6" location="'P&amp;L assumptions'!A1" display="P&amp;L assumptions"/>
    <hyperlink ref="B7" location="'BS assumptions'!A1" display="BS assumptions"/>
    <hyperlink ref="B9" location="null!A1" display="P&amp;L"/>
    <hyperlink ref="B10" location="BS!A1" display="BS"/>
    <hyperlink ref="B11" location="null!A1" display="Cash Flow"/>
    <hyperlink ref="B12" location="null!A1" display="DCF valuati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26.29"/>
    <col collapsed="false" customWidth="true" hidden="false" outlineLevel="0" max="26" min="3" style="1" width="8.71"/>
  </cols>
  <sheetData>
    <row r="1" customFormat="false" ht="15" hidden="false" customHeight="true" outlineLevel="0" collapsed="false">
      <c r="B1" s="15" t="s">
        <v>17</v>
      </c>
      <c r="C1" s="16"/>
      <c r="D1" s="16"/>
      <c r="E1" s="16"/>
      <c r="F1" s="16"/>
    </row>
    <row r="2" customFormat="false" ht="15" hidden="false" customHeight="true" outlineLevel="0" collapsed="false">
      <c r="B2" s="16"/>
      <c r="C2" s="16"/>
      <c r="D2" s="16"/>
      <c r="E2" s="16"/>
      <c r="F2" s="16"/>
    </row>
    <row r="3" customFormat="false" ht="21.75" hidden="false" customHeight="true" outlineLevel="0" collapsed="false">
      <c r="B3" s="17" t="s">
        <v>18</v>
      </c>
      <c r="C3" s="18"/>
      <c r="D3" s="19" t="s">
        <v>19</v>
      </c>
      <c r="E3" s="19" t="s">
        <v>20</v>
      </c>
      <c r="F3" s="19" t="s">
        <v>21</v>
      </c>
    </row>
    <row r="4" customFormat="false" ht="15" hidden="false" customHeight="true" outlineLevel="0" collapsed="false">
      <c r="B4" s="20" t="s">
        <v>22</v>
      </c>
      <c r="C4" s="16"/>
      <c r="D4" s="21" t="n">
        <v>177203</v>
      </c>
      <c r="E4" s="21" t="n">
        <v>188618</v>
      </c>
      <c r="F4" s="21" t="n">
        <v>208366</v>
      </c>
    </row>
    <row r="5" customFormat="false" ht="15" hidden="false" customHeight="true" outlineLevel="0" collapsed="false">
      <c r="B5" s="22" t="s">
        <v>23</v>
      </c>
      <c r="C5" s="18"/>
      <c r="D5" s="23" t="n">
        <v>3520</v>
      </c>
      <c r="E5" s="23" t="n">
        <v>2416</v>
      </c>
      <c r="F5" s="23" t="n">
        <v>2585</v>
      </c>
    </row>
    <row r="6" customFormat="false" ht="15" hidden="false" customHeight="true" outlineLevel="0" collapsed="false">
      <c r="B6" s="24" t="s">
        <v>24</v>
      </c>
      <c r="C6" s="16"/>
      <c r="D6" s="25" t="n">
        <v>180723</v>
      </c>
      <c r="E6" s="25" t="n">
        <v>191034</v>
      </c>
      <c r="F6" s="25" t="n">
        <v>210951</v>
      </c>
    </row>
    <row r="7" customFormat="false" ht="15" hidden="false" customHeight="true" outlineLevel="0" collapsed="false">
      <c r="B7" s="16"/>
      <c r="C7" s="16"/>
      <c r="D7" s="16"/>
      <c r="E7" s="16"/>
      <c r="F7" s="16"/>
    </row>
    <row r="8" customFormat="false" ht="15" hidden="false" customHeight="true" outlineLevel="0" collapsed="false">
      <c r="B8" s="20" t="s">
        <v>25</v>
      </c>
      <c r="C8" s="16"/>
      <c r="D8" s="21" t="n">
        <v>-139903</v>
      </c>
      <c r="E8" s="21" t="n">
        <v>-138923</v>
      </c>
      <c r="F8" s="21" t="n">
        <v>-150080</v>
      </c>
    </row>
    <row r="9" customFormat="false" ht="15" hidden="false" customHeight="true" outlineLevel="0" collapsed="false">
      <c r="B9" s="20" t="s">
        <v>26</v>
      </c>
      <c r="C9" s="16"/>
      <c r="D9" s="21" t="n">
        <v>-2491</v>
      </c>
      <c r="E9" s="21" t="n">
        <v>-11649</v>
      </c>
      <c r="F9" s="21" t="n">
        <v>-7443</v>
      </c>
    </row>
    <row r="10" customFormat="false" ht="15" hidden="false" customHeight="true" outlineLevel="0" collapsed="false">
      <c r="B10" s="20" t="s">
        <v>27</v>
      </c>
      <c r="C10" s="16"/>
      <c r="D10" s="21" t="n">
        <v>-16390</v>
      </c>
      <c r="E10" s="21" t="n">
        <v>-17878</v>
      </c>
      <c r="F10" s="21" t="n">
        <v>-22293</v>
      </c>
    </row>
    <row r="11" customFormat="false" ht="15" hidden="false" customHeight="true" outlineLevel="0" collapsed="false">
      <c r="B11" s="20" t="s">
        <v>28</v>
      </c>
      <c r="C11" s="16"/>
      <c r="D11" s="26" t="n">
        <v>-291</v>
      </c>
      <c r="E11" s="26" t="n">
        <v>-246</v>
      </c>
      <c r="F11" s="26" t="n">
        <v>-121</v>
      </c>
    </row>
    <row r="12" customFormat="false" ht="15" hidden="false" customHeight="true" outlineLevel="0" collapsed="false">
      <c r="B12" s="20" t="s">
        <v>29</v>
      </c>
      <c r="C12" s="16"/>
      <c r="D12" s="21" t="n">
        <v>-1331</v>
      </c>
      <c r="E12" s="21" t="n">
        <v>-1123</v>
      </c>
      <c r="F12" s="21" t="n">
        <v>-1453</v>
      </c>
    </row>
    <row r="13" customFormat="false" ht="15" hidden="false" customHeight="true" outlineLevel="0" collapsed="false">
      <c r="B13" s="18"/>
      <c r="C13" s="18"/>
      <c r="D13" s="18"/>
      <c r="E13" s="18"/>
      <c r="F13" s="18"/>
    </row>
    <row r="14" customFormat="false" ht="15" hidden="false" customHeight="true" outlineLevel="0" collapsed="false">
      <c r="B14" s="24" t="s">
        <v>30</v>
      </c>
      <c r="C14" s="16"/>
      <c r="D14" s="25" t="n">
        <v>20317</v>
      </c>
      <c r="E14" s="25" t="n">
        <v>21214</v>
      </c>
      <c r="F14" s="25" t="n">
        <v>29561</v>
      </c>
    </row>
    <row r="15" customFormat="false" ht="15" hidden="false" customHeight="true" outlineLevel="0" collapsed="false">
      <c r="B15" s="16"/>
      <c r="C15" s="16"/>
      <c r="D15" s="16"/>
      <c r="E15" s="16"/>
      <c r="F15" s="16"/>
    </row>
    <row r="16" customFormat="false" ht="15" hidden="false" customHeight="true" outlineLevel="0" collapsed="false">
      <c r="B16" s="20" t="s">
        <v>31</v>
      </c>
      <c r="C16" s="16"/>
      <c r="D16" s="21" t="n">
        <v>-2908</v>
      </c>
      <c r="E16" s="21" t="n">
        <v>-4650</v>
      </c>
      <c r="F16" s="21" t="n">
        <v>-6431</v>
      </c>
    </row>
    <row r="17" customFormat="false" ht="15" hidden="false" customHeight="true" outlineLevel="0" collapsed="false">
      <c r="B17" s="18"/>
      <c r="C17" s="18"/>
      <c r="D17" s="18"/>
      <c r="E17" s="18"/>
      <c r="F17" s="18"/>
    </row>
    <row r="18" customFormat="false" ht="15" hidden="false" customHeight="true" outlineLevel="0" collapsed="false">
      <c r="B18" s="24" t="s">
        <v>32</v>
      </c>
      <c r="C18" s="16"/>
      <c r="D18" s="25" t="n">
        <v>17410</v>
      </c>
      <c r="E18" s="25" t="n">
        <v>16564</v>
      </c>
      <c r="F18" s="25" t="n">
        <v>23130</v>
      </c>
    </row>
    <row r="19" customFormat="false" ht="15" hidden="false" customHeight="true" outlineLevel="0" collapsed="false">
      <c r="B19" s="16"/>
      <c r="C19" s="16"/>
      <c r="D19" s="16"/>
      <c r="E19" s="16"/>
      <c r="F19" s="16"/>
    </row>
    <row r="20" customFormat="false" ht="15" hidden="false" customHeight="true" outlineLevel="0" collapsed="false">
      <c r="B20" s="20" t="s">
        <v>33</v>
      </c>
      <c r="C20" s="16"/>
      <c r="D20" s="21" t="n">
        <v>-1266</v>
      </c>
      <c r="E20" s="21" t="n">
        <v>-2191</v>
      </c>
      <c r="F20" s="21" t="n">
        <v>-2664</v>
      </c>
    </row>
    <row r="21" customFormat="false" ht="15.75" hidden="false" customHeight="true" outlineLevel="0" collapsed="false">
      <c r="B21" s="20" t="s">
        <v>34</v>
      </c>
      <c r="C21" s="16"/>
      <c r="D21" s="26" t="n">
        <v>-318</v>
      </c>
      <c r="E21" s="26" t="n">
        <v>-864</v>
      </c>
      <c r="F21" s="26" t="n">
        <v>-320</v>
      </c>
    </row>
    <row r="22" customFormat="false" ht="15.75" hidden="false" customHeight="true" outlineLevel="0" collapsed="false">
      <c r="B22" s="18"/>
      <c r="C22" s="18"/>
      <c r="D22" s="18"/>
      <c r="E22" s="18"/>
      <c r="F22" s="18"/>
    </row>
    <row r="23" customFormat="false" ht="15.75" hidden="false" customHeight="true" outlineLevel="0" collapsed="false">
      <c r="B23" s="24" t="s">
        <v>35</v>
      </c>
      <c r="C23" s="16"/>
      <c r="D23" s="25" t="n">
        <v>15826</v>
      </c>
      <c r="E23" s="25" t="n">
        <v>13509</v>
      </c>
      <c r="F23" s="25" t="n">
        <v>20146</v>
      </c>
    </row>
    <row r="24" customFormat="false" ht="15.75" hidden="false" customHeight="true" outlineLevel="0" collapsed="false">
      <c r="B24" s="16"/>
      <c r="C24" s="16"/>
      <c r="D24" s="16"/>
      <c r="E24" s="16"/>
      <c r="F24" s="16"/>
    </row>
    <row r="25" customFormat="false" ht="15.75" hidden="false" customHeight="true" outlineLevel="0" collapsed="false">
      <c r="B25" s="20" t="s">
        <v>36</v>
      </c>
      <c r="C25" s="16"/>
      <c r="D25" s="21" t="n">
        <v>-3806</v>
      </c>
      <c r="E25" s="21" t="n">
        <v>-3050</v>
      </c>
      <c r="F25" s="21" t="n">
        <v>-3815</v>
      </c>
    </row>
    <row r="26" customFormat="false" ht="15.75" hidden="false" customHeight="true" outlineLevel="0" collapsed="false">
      <c r="B26" s="18"/>
      <c r="C26" s="18"/>
      <c r="D26" s="18"/>
      <c r="E26" s="18"/>
      <c r="F26" s="18"/>
    </row>
    <row r="27" customFormat="false" ht="15.75" hidden="false" customHeight="true" outlineLevel="0" collapsed="false">
      <c r="B27" s="27" t="s">
        <v>37</v>
      </c>
      <c r="C27" s="28"/>
      <c r="D27" s="29" t="n">
        <v>12020</v>
      </c>
      <c r="E27" s="29" t="n">
        <v>10459</v>
      </c>
      <c r="F27" s="29" t="n">
        <v>16331</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18.29"/>
    <col collapsed="false" customWidth="true" hidden="false" outlineLevel="0" max="3" min="3" style="1" width="8.71"/>
    <col collapsed="false" customWidth="true" hidden="false" outlineLevel="0" max="4" min="4" style="1" width="10.14"/>
    <col collapsed="false" customWidth="true" hidden="false" outlineLevel="0" max="7" min="5" style="1" width="8.71"/>
    <col collapsed="false" customWidth="true" hidden="false" outlineLevel="0" max="8" min="8" style="1" width="18"/>
    <col collapsed="false" customWidth="true" hidden="false" outlineLevel="0" max="26" min="9" style="1" width="8.71"/>
  </cols>
  <sheetData>
    <row r="1" customFormat="false" ht="15" hidden="false" customHeight="true" outlineLevel="0" collapsed="false">
      <c r="B1" s="30" t="s">
        <v>38</v>
      </c>
      <c r="C1" s="31"/>
      <c r="D1" s="31"/>
      <c r="E1" s="31"/>
      <c r="F1" s="31"/>
      <c r="G1" s="31"/>
      <c r="H1" s="31"/>
      <c r="I1" s="31"/>
      <c r="J1" s="31"/>
      <c r="K1" s="31"/>
      <c r="L1" s="31"/>
    </row>
    <row r="2" customFormat="false" ht="15" hidden="false" customHeight="true" outlineLevel="0" collapsed="false">
      <c r="B2" s="31"/>
      <c r="C2" s="31"/>
      <c r="D2" s="31"/>
      <c r="E2" s="31"/>
      <c r="F2" s="31"/>
      <c r="G2" s="31"/>
      <c r="H2" s="31"/>
      <c r="I2" s="31"/>
      <c r="J2" s="31"/>
      <c r="K2" s="31"/>
      <c r="L2" s="31"/>
    </row>
    <row r="3" customFormat="false" ht="21.75" hidden="false" customHeight="true" outlineLevel="0" collapsed="false">
      <c r="B3" s="32" t="s">
        <v>18</v>
      </c>
      <c r="C3" s="33"/>
      <c r="D3" s="34" t="s">
        <v>39</v>
      </c>
      <c r="E3" s="34" t="s">
        <v>40</v>
      </c>
      <c r="F3" s="34" t="s">
        <v>41</v>
      </c>
      <c r="G3" s="31"/>
      <c r="H3" s="32" t="s">
        <v>18</v>
      </c>
      <c r="I3" s="33"/>
      <c r="J3" s="34" t="s">
        <v>39</v>
      </c>
      <c r="K3" s="34" t="s">
        <v>40</v>
      </c>
      <c r="L3" s="34" t="s">
        <v>41</v>
      </c>
    </row>
    <row r="4" customFormat="false" ht="15" hidden="false" customHeight="true" outlineLevel="0" collapsed="false">
      <c r="B4" s="35" t="s">
        <v>42</v>
      </c>
      <c r="C4" s="31"/>
      <c r="D4" s="36" t="n">
        <v>5962</v>
      </c>
      <c r="E4" s="36" t="n">
        <v>5840</v>
      </c>
      <c r="F4" s="36" t="n">
        <v>5650</v>
      </c>
      <c r="G4" s="31"/>
      <c r="H4" s="35" t="s">
        <v>43</v>
      </c>
      <c r="I4" s="31"/>
      <c r="J4" s="36" t="n">
        <v>6785</v>
      </c>
      <c r="K4" s="36" t="n">
        <v>6800</v>
      </c>
      <c r="L4" s="36" t="n">
        <v>7508</v>
      </c>
    </row>
    <row r="5" customFormat="false" ht="15" hidden="false" customHeight="true" outlineLevel="0" collapsed="false">
      <c r="B5" s="35" t="s">
        <v>44</v>
      </c>
      <c r="C5" s="31"/>
      <c r="D5" s="36" t="n">
        <v>45106</v>
      </c>
      <c r="E5" s="36" t="n">
        <v>49072</v>
      </c>
      <c r="F5" s="36" t="n">
        <v>56109</v>
      </c>
      <c r="G5" s="31"/>
      <c r="H5" s="35" t="s">
        <v>45</v>
      </c>
      <c r="I5" s="31"/>
      <c r="J5" s="36" t="n">
        <v>46224</v>
      </c>
      <c r="K5" s="36" t="n">
        <v>44414</v>
      </c>
      <c r="L5" s="36" t="n">
        <v>46513</v>
      </c>
    </row>
    <row r="6" customFormat="false" ht="15" hidden="false" customHeight="true" outlineLevel="0" collapsed="false">
      <c r="B6" s="35" t="s">
        <v>46</v>
      </c>
      <c r="C6" s="31"/>
      <c r="D6" s="36" t="n">
        <v>8824</v>
      </c>
      <c r="E6" s="36" t="n">
        <v>9831</v>
      </c>
      <c r="F6" s="36" t="n">
        <v>10323</v>
      </c>
      <c r="G6" s="31"/>
      <c r="H6" s="35" t="s">
        <v>47</v>
      </c>
      <c r="I6" s="31"/>
      <c r="J6" s="36" t="n">
        <v>16394</v>
      </c>
      <c r="K6" s="36" t="n">
        <v>25994</v>
      </c>
      <c r="L6" s="36" t="n">
        <v>21516</v>
      </c>
    </row>
    <row r="7" customFormat="false" ht="15" hidden="false" customHeight="true" outlineLevel="0" collapsed="false">
      <c r="B7" s="33"/>
      <c r="C7" s="33"/>
      <c r="D7" s="33"/>
      <c r="E7" s="33"/>
      <c r="F7" s="33"/>
      <c r="G7" s="31"/>
      <c r="H7" s="37" t="s">
        <v>48</v>
      </c>
      <c r="I7" s="33"/>
      <c r="J7" s="38" t="n">
        <v>12020</v>
      </c>
      <c r="K7" s="38" t="n">
        <v>10459</v>
      </c>
      <c r="L7" s="38" t="n">
        <v>16331</v>
      </c>
    </row>
    <row r="8" customFormat="false" ht="15" hidden="false" customHeight="true" outlineLevel="0" collapsed="false">
      <c r="B8" s="39" t="s">
        <v>49</v>
      </c>
      <c r="C8" s="40"/>
      <c r="D8" s="41" t="n">
        <v>59892</v>
      </c>
      <c r="E8" s="41" t="n">
        <v>64743</v>
      </c>
      <c r="F8" s="41" t="n">
        <v>72082</v>
      </c>
      <c r="G8" s="31"/>
      <c r="H8" s="39" t="s">
        <v>50</v>
      </c>
      <c r="I8" s="40"/>
      <c r="J8" s="41" t="n">
        <v>81422</v>
      </c>
      <c r="K8" s="41" t="n">
        <v>87667</v>
      </c>
      <c r="L8" s="41" t="n">
        <v>91868</v>
      </c>
    </row>
    <row r="9" customFormat="false" ht="15" hidden="false" customHeight="true" outlineLevel="0" collapsed="false">
      <c r="B9" s="31"/>
      <c r="C9" s="31"/>
      <c r="D9" s="31"/>
      <c r="E9" s="31"/>
      <c r="F9" s="31"/>
      <c r="G9" s="31"/>
      <c r="H9" s="31"/>
      <c r="I9" s="31"/>
      <c r="J9" s="31"/>
      <c r="K9" s="31"/>
      <c r="L9" s="31"/>
    </row>
    <row r="10" customFormat="false" ht="15" hidden="false" customHeight="true" outlineLevel="0" collapsed="false">
      <c r="B10" s="35" t="s">
        <v>51</v>
      </c>
      <c r="C10" s="31"/>
      <c r="D10" s="36" t="n">
        <v>31167</v>
      </c>
      <c r="E10" s="36" t="n">
        <v>36397</v>
      </c>
      <c r="F10" s="36" t="n">
        <v>46212</v>
      </c>
      <c r="G10" s="31"/>
      <c r="H10" s="35" t="s">
        <v>52</v>
      </c>
      <c r="I10" s="31"/>
      <c r="J10" s="36" t="n">
        <v>15891</v>
      </c>
      <c r="K10" s="36" t="n">
        <v>26352</v>
      </c>
      <c r="L10" s="36" t="n">
        <v>36190</v>
      </c>
    </row>
    <row r="11" customFormat="false" ht="15" hidden="false" customHeight="true" outlineLevel="0" collapsed="false">
      <c r="B11" s="35" t="s">
        <v>53</v>
      </c>
      <c r="C11" s="31"/>
      <c r="D11" s="36" t="n">
        <v>32884</v>
      </c>
      <c r="E11" s="36" t="n">
        <v>38556</v>
      </c>
      <c r="F11" s="36" t="n">
        <v>43582</v>
      </c>
      <c r="G11" s="31"/>
      <c r="H11" s="35" t="s">
        <v>54</v>
      </c>
      <c r="I11" s="31"/>
      <c r="J11" s="36" t="n">
        <v>5315</v>
      </c>
      <c r="K11" s="36" t="n">
        <v>4334</v>
      </c>
      <c r="L11" s="36" t="n">
        <v>6473</v>
      </c>
    </row>
    <row r="12" customFormat="false" ht="15" hidden="false" customHeight="true" outlineLevel="0" collapsed="false">
      <c r="B12" s="35" t="s">
        <v>55</v>
      </c>
      <c r="C12" s="31"/>
      <c r="D12" s="36" t="n">
        <v>8842</v>
      </c>
      <c r="E12" s="36" t="n">
        <v>11359</v>
      </c>
      <c r="F12" s="36" t="n">
        <v>17603</v>
      </c>
      <c r="G12" s="31"/>
      <c r="H12" s="35" t="s">
        <v>56</v>
      </c>
      <c r="I12" s="31"/>
      <c r="J12" s="42" t="n">
        <v>479</v>
      </c>
      <c r="K12" s="36" t="n">
        <v>1218</v>
      </c>
      <c r="L12" s="36" t="n">
        <v>1760</v>
      </c>
    </row>
    <row r="13" customFormat="false" ht="21.75" hidden="false" customHeight="true" outlineLevel="0" collapsed="false">
      <c r="B13" s="31"/>
      <c r="C13" s="31"/>
      <c r="D13" s="31"/>
      <c r="E13" s="31"/>
      <c r="F13" s="31"/>
      <c r="G13" s="31"/>
      <c r="H13" s="35" t="s">
        <v>57</v>
      </c>
      <c r="I13" s="31"/>
      <c r="J13" s="42" t="n">
        <v>175</v>
      </c>
      <c r="K13" s="42" t="n">
        <v>248</v>
      </c>
      <c r="L13" s="42" t="n">
        <v>240</v>
      </c>
    </row>
    <row r="14" customFormat="false" ht="15" hidden="false" customHeight="true" outlineLevel="0" collapsed="false">
      <c r="B14" s="37" t="s">
        <v>58</v>
      </c>
      <c r="C14" s="33"/>
      <c r="D14" s="38" t="n">
        <v>11791</v>
      </c>
      <c r="E14" s="38" t="n">
        <v>19409</v>
      </c>
      <c r="F14" s="38" t="n">
        <v>8174</v>
      </c>
      <c r="G14" s="31"/>
      <c r="H14" s="31"/>
      <c r="I14" s="31"/>
      <c r="J14" s="31"/>
      <c r="K14" s="31"/>
      <c r="L14" s="31"/>
    </row>
    <row r="15" customFormat="false" ht="15" hidden="false" customHeight="true" outlineLevel="0" collapsed="false">
      <c r="B15" s="39" t="s">
        <v>59</v>
      </c>
      <c r="C15" s="40"/>
      <c r="D15" s="41" t="n">
        <v>84684</v>
      </c>
      <c r="E15" s="41" t="n">
        <v>105721</v>
      </c>
      <c r="F15" s="41" t="n">
        <v>115570</v>
      </c>
      <c r="G15" s="31"/>
      <c r="H15" s="35" t="s">
        <v>60</v>
      </c>
      <c r="I15" s="31"/>
      <c r="J15" s="36" t="n">
        <v>37403</v>
      </c>
      <c r="K15" s="36" t="n">
        <v>45595</v>
      </c>
      <c r="L15" s="36" t="n">
        <v>50680</v>
      </c>
    </row>
    <row r="16" customFormat="false" ht="21.75" hidden="false" customHeight="true" outlineLevel="0" collapsed="false">
      <c r="B16" s="31"/>
      <c r="C16" s="31"/>
      <c r="D16" s="31"/>
      <c r="E16" s="31"/>
      <c r="F16" s="31"/>
      <c r="G16" s="31"/>
      <c r="H16" s="37" t="s">
        <v>61</v>
      </c>
      <c r="I16" s="33"/>
      <c r="J16" s="38" t="n">
        <v>3890</v>
      </c>
      <c r="K16" s="38" t="n">
        <v>5051</v>
      </c>
      <c r="L16" s="43" t="n">
        <v>440</v>
      </c>
    </row>
    <row r="17" customFormat="false" ht="15" hidden="false" customHeight="true" outlineLevel="0" collapsed="false">
      <c r="B17" s="31"/>
      <c r="C17" s="31"/>
      <c r="D17" s="31"/>
      <c r="E17" s="31"/>
      <c r="F17" s="31"/>
      <c r="G17" s="31"/>
      <c r="H17" s="39" t="s">
        <v>62</v>
      </c>
      <c r="I17" s="40"/>
      <c r="J17" s="41" t="n">
        <v>63153</v>
      </c>
      <c r="K17" s="41" t="n">
        <v>82797</v>
      </c>
      <c r="L17" s="41" t="n">
        <v>95784</v>
      </c>
    </row>
    <row r="18" customFormat="false" ht="15" hidden="false" customHeight="true" outlineLevel="0" collapsed="false">
      <c r="B18" s="33"/>
      <c r="C18" s="33"/>
      <c r="D18" s="33"/>
      <c r="E18" s="33"/>
      <c r="F18" s="33"/>
      <c r="G18" s="31"/>
      <c r="H18" s="33"/>
      <c r="I18" s="33"/>
      <c r="J18" s="33"/>
      <c r="K18" s="33"/>
      <c r="L18" s="33"/>
    </row>
    <row r="19" customFormat="false" ht="21.75" hidden="false" customHeight="true" outlineLevel="0" collapsed="false">
      <c r="B19" s="39" t="s">
        <v>63</v>
      </c>
      <c r="C19" s="40"/>
      <c r="D19" s="41" t="n">
        <v>144576</v>
      </c>
      <c r="E19" s="41" t="n">
        <v>170464</v>
      </c>
      <c r="F19" s="41" t="n">
        <v>187652</v>
      </c>
      <c r="G19" s="31"/>
      <c r="H19" s="39" t="s">
        <v>64</v>
      </c>
      <c r="I19" s="40"/>
      <c r="J19" s="41" t="n">
        <v>144576</v>
      </c>
      <c r="K19" s="41" t="n">
        <v>170464</v>
      </c>
      <c r="L19" s="41" t="n">
        <v>187652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4.43"/>
    <col collapsed="false" customWidth="true" hidden="false" outlineLevel="0" max="26" min="2" style="1" width="8.71"/>
  </cols>
  <sheetData>
    <row r="1" customFormat="false" ht="15" hidden="false" customHeight="true" outlineLevel="0" collapsed="false">
      <c r="A1" s="30" t="s">
        <v>5</v>
      </c>
      <c r="B1" s="31"/>
      <c r="C1" s="31"/>
      <c r="D1" s="31"/>
      <c r="E1" s="31"/>
      <c r="F1" s="31"/>
      <c r="G1" s="31"/>
      <c r="H1" s="31"/>
      <c r="I1" s="31"/>
      <c r="J1" s="31"/>
    </row>
    <row r="2" customFormat="false" ht="15" hidden="false" customHeight="true" outlineLevel="0" collapsed="false">
      <c r="A2" s="31"/>
      <c r="B2" s="31"/>
      <c r="C2" s="31"/>
      <c r="D2" s="31"/>
      <c r="E2" s="31"/>
      <c r="F2" s="35" t="s">
        <v>65</v>
      </c>
      <c r="G2" s="31"/>
      <c r="H2" s="31"/>
      <c r="I2" s="31"/>
      <c r="J2" s="31"/>
    </row>
    <row r="3" customFormat="false" ht="15" hidden="false" customHeight="true" outlineLevel="0" collapsed="false">
      <c r="A3" s="31"/>
      <c r="B3" s="31"/>
      <c r="C3" s="31"/>
      <c r="D3" s="31"/>
      <c r="E3" s="31"/>
      <c r="F3" s="35" t="s">
        <v>66</v>
      </c>
      <c r="G3" s="44" t="s">
        <v>67</v>
      </c>
      <c r="H3" s="31"/>
      <c r="I3" s="31"/>
      <c r="J3" s="31"/>
    </row>
    <row r="4" customFormat="false" ht="15" hidden="false" customHeight="true" outlineLevel="0" collapsed="false">
      <c r="A4" s="31"/>
      <c r="B4" s="31"/>
      <c r="C4" s="31"/>
      <c r="D4" s="31"/>
      <c r="E4" s="31"/>
      <c r="F4" s="35" t="s">
        <v>68</v>
      </c>
      <c r="G4" s="35" t="s">
        <v>69</v>
      </c>
      <c r="H4" s="31"/>
      <c r="I4" s="31"/>
      <c r="J4" s="31"/>
    </row>
    <row r="5" customFormat="false" ht="21.75" hidden="false" customHeight="true" outlineLevel="0" collapsed="false">
      <c r="A5" s="35" t="s">
        <v>70</v>
      </c>
      <c r="B5" s="45" t="n">
        <v>2</v>
      </c>
      <c r="C5" s="31"/>
      <c r="D5" s="31"/>
      <c r="E5" s="31"/>
      <c r="F5" s="35" t="s">
        <v>71</v>
      </c>
      <c r="G5" s="35" t="s">
        <v>72</v>
      </c>
      <c r="H5" s="31"/>
      <c r="I5" s="31"/>
      <c r="J5" s="31"/>
    </row>
    <row r="6" customFormat="false" ht="15" hidden="false" customHeight="true" outlineLevel="0" collapsed="false">
      <c r="A6" s="31"/>
      <c r="B6" s="31"/>
      <c r="C6" s="31"/>
      <c r="D6" s="31"/>
      <c r="E6" s="31"/>
      <c r="F6" s="31"/>
      <c r="G6" s="31"/>
      <c r="H6" s="31"/>
      <c r="I6" s="31"/>
      <c r="J6" s="31"/>
    </row>
    <row r="7" customFormat="false" ht="15" hidden="false" customHeight="true" outlineLevel="0" collapsed="false">
      <c r="A7" s="31"/>
      <c r="B7" s="31"/>
      <c r="C7" s="31"/>
      <c r="D7" s="31"/>
      <c r="E7" s="31"/>
      <c r="F7" s="31"/>
      <c r="G7" s="31"/>
      <c r="H7" s="31"/>
      <c r="I7" s="31"/>
      <c r="J7" s="31"/>
    </row>
    <row r="8" customFormat="false" ht="21.75" hidden="false" customHeight="true" outlineLevel="0" collapsed="false">
      <c r="A8" s="46" t="s">
        <v>73</v>
      </c>
      <c r="B8" s="47" t="s">
        <v>74</v>
      </c>
      <c r="C8" s="47" t="s">
        <v>75</v>
      </c>
      <c r="D8" s="47" t="s">
        <v>76</v>
      </c>
      <c r="E8" s="31"/>
      <c r="F8" s="48" t="s">
        <v>77</v>
      </c>
      <c r="G8" s="48" t="s">
        <v>78</v>
      </c>
      <c r="H8" s="48" t="s">
        <v>79</v>
      </c>
      <c r="I8" s="48" t="s">
        <v>80</v>
      </c>
      <c r="J8" s="48" t="s">
        <v>81</v>
      </c>
    </row>
    <row r="9" customFormat="false" ht="15" hidden="false" customHeight="true" outlineLevel="0" collapsed="false">
      <c r="A9" s="35" t="s">
        <v>82</v>
      </c>
      <c r="B9" s="36" t="n">
        <v>177203</v>
      </c>
      <c r="C9" s="36" t="n">
        <v>188618</v>
      </c>
      <c r="D9" s="36" t="n">
        <v>208366</v>
      </c>
      <c r="E9" s="31"/>
      <c r="F9" s="49" t="n">
        <f aca="false">D9*(1+F10)</f>
        <v>225035.28</v>
      </c>
      <c r="G9" s="49" t="n">
        <f aca="false">F9*(1+G10)</f>
        <v>243038.1024</v>
      </c>
      <c r="H9" s="49" t="n">
        <f aca="false">G9*(1+H10)</f>
        <v>262481.150592</v>
      </c>
      <c r="I9" s="49" t="n">
        <f aca="false">H9*(1+I10)</f>
        <v>283479.64263936</v>
      </c>
      <c r="J9" s="49" t="n">
        <f aca="false">I9*(1+J10)</f>
        <v>306158.014050509</v>
      </c>
    </row>
    <row r="10" customFormat="false" ht="15" hidden="false" customHeight="true" outlineLevel="0" collapsed="false">
      <c r="A10" s="35" t="s">
        <v>83</v>
      </c>
      <c r="B10" s="31"/>
      <c r="C10" s="50" t="n">
        <v>0.064</v>
      </c>
      <c r="D10" s="50" t="n">
        <v>0.105</v>
      </c>
      <c r="E10" s="31"/>
      <c r="F10" s="51" t="n">
        <f aca="false">CHOOSE($B$5,F11,F12,F13)</f>
        <v>0.08</v>
      </c>
      <c r="G10" s="51" t="n">
        <v>0.08</v>
      </c>
      <c r="H10" s="51" t="n">
        <v>0.08</v>
      </c>
      <c r="I10" s="51" t="n">
        <v>0.08</v>
      </c>
      <c r="J10" s="51" t="n">
        <v>0.08</v>
      </c>
    </row>
    <row r="11" customFormat="false" ht="15" hidden="false" customHeight="true" outlineLevel="0" collapsed="false">
      <c r="A11" s="35" t="s">
        <v>66</v>
      </c>
      <c r="B11" s="31"/>
      <c r="C11" s="31"/>
      <c r="D11" s="31"/>
      <c r="E11" s="31"/>
      <c r="F11" s="51" t="n">
        <v>0.1</v>
      </c>
      <c r="G11" s="51" t="n">
        <v>0.1</v>
      </c>
      <c r="H11" s="51" t="n">
        <v>0.1</v>
      </c>
      <c r="I11" s="51" t="n">
        <v>0.1</v>
      </c>
      <c r="J11" s="51" t="n">
        <v>0.1</v>
      </c>
    </row>
    <row r="12" customFormat="false" ht="15" hidden="false" customHeight="true" outlineLevel="0" collapsed="false">
      <c r="A12" s="35" t="s">
        <v>68</v>
      </c>
      <c r="B12" s="31"/>
      <c r="C12" s="31"/>
      <c r="D12" s="31"/>
      <c r="E12" s="31"/>
      <c r="F12" s="51" t="n">
        <v>0.08</v>
      </c>
      <c r="G12" s="51" t="n">
        <v>0.08</v>
      </c>
      <c r="H12" s="51" t="n">
        <v>0.08</v>
      </c>
      <c r="I12" s="51" t="n">
        <v>0.08</v>
      </c>
      <c r="J12" s="51" t="n">
        <v>0.08</v>
      </c>
    </row>
    <row r="13" customFormat="false" ht="15" hidden="false" customHeight="true" outlineLevel="0" collapsed="false">
      <c r="A13" s="35" t="s">
        <v>71</v>
      </c>
      <c r="B13" s="31"/>
      <c r="C13" s="31"/>
      <c r="D13" s="31"/>
      <c r="E13" s="31"/>
      <c r="F13" s="51" t="n">
        <v>0.06</v>
      </c>
      <c r="G13" s="51" t="n">
        <v>0.06</v>
      </c>
      <c r="H13" s="51" t="n">
        <v>0.06</v>
      </c>
      <c r="I13" s="51" t="n">
        <v>0.06</v>
      </c>
      <c r="J13" s="51" t="n">
        <v>0.06</v>
      </c>
    </row>
    <row r="14" customFormat="false" ht="15" hidden="false" customHeight="true" outlineLevel="0" collapsed="false">
      <c r="A14" s="31"/>
      <c r="B14" s="31"/>
      <c r="C14" s="31"/>
      <c r="D14" s="31"/>
      <c r="E14" s="31"/>
      <c r="F14" s="52"/>
      <c r="G14" s="52"/>
      <c r="H14" s="52"/>
      <c r="I14" s="52"/>
      <c r="J14" s="52"/>
    </row>
    <row r="15" customFormat="false" ht="15" hidden="false" customHeight="true" outlineLevel="0" collapsed="false">
      <c r="A15" s="35" t="s">
        <v>84</v>
      </c>
      <c r="B15" s="36" t="n">
        <v>3520</v>
      </c>
      <c r="C15" s="36" t="n">
        <v>2416</v>
      </c>
      <c r="D15" s="36" t="n">
        <v>2585</v>
      </c>
      <c r="E15" s="31"/>
      <c r="F15" s="49" t="n">
        <v>2585</v>
      </c>
      <c r="G15" s="49" t="n">
        <v>2585</v>
      </c>
      <c r="H15" s="49" t="n">
        <v>2585</v>
      </c>
      <c r="I15" s="49" t="n">
        <v>2585</v>
      </c>
      <c r="J15" s="49" t="n">
        <v>2585</v>
      </c>
    </row>
    <row r="16" customFormat="false" ht="15" hidden="false" customHeight="true" outlineLevel="0" collapsed="false">
      <c r="A16" s="35" t="s">
        <v>85</v>
      </c>
      <c r="B16" s="31"/>
      <c r="C16" s="31"/>
      <c r="D16" s="31"/>
      <c r="E16" s="31"/>
      <c r="F16" s="51" t="n">
        <v>0</v>
      </c>
      <c r="G16" s="51" t="n">
        <v>0</v>
      </c>
      <c r="H16" s="51" t="n">
        <v>0</v>
      </c>
      <c r="I16" s="51" t="n">
        <v>0</v>
      </c>
      <c r="J16" s="51" t="n">
        <v>0</v>
      </c>
    </row>
    <row r="17" customFormat="false" ht="15" hidden="false" customHeight="true" outlineLevel="0" collapsed="false">
      <c r="A17" s="35" t="s">
        <v>86</v>
      </c>
      <c r="B17" s="31"/>
      <c r="C17" s="31"/>
      <c r="D17" s="31"/>
      <c r="E17" s="31"/>
      <c r="F17" s="51" t="n">
        <v>0</v>
      </c>
      <c r="G17" s="51" t="n">
        <v>0</v>
      </c>
      <c r="H17" s="51" t="n">
        <v>0</v>
      </c>
      <c r="I17" s="51" t="n">
        <v>0</v>
      </c>
      <c r="J17" s="51" t="n">
        <v>0</v>
      </c>
    </row>
    <row r="18" customFormat="false" ht="15" hidden="false" customHeight="true" outlineLevel="0" collapsed="false">
      <c r="A18" s="35" t="s">
        <v>87</v>
      </c>
      <c r="B18" s="31"/>
      <c r="C18" s="31"/>
      <c r="D18" s="31"/>
      <c r="E18" s="31"/>
      <c r="F18" s="51" t="n">
        <v>0</v>
      </c>
      <c r="G18" s="51" t="n">
        <v>0</v>
      </c>
      <c r="H18" s="51" t="n">
        <v>0</v>
      </c>
      <c r="I18" s="51" t="n">
        <v>0</v>
      </c>
      <c r="J18" s="51" t="n">
        <v>0</v>
      </c>
    </row>
    <row r="19" customFormat="false" ht="15" hidden="false" customHeight="true" outlineLevel="0" collapsed="false">
      <c r="A19" s="35" t="s">
        <v>88</v>
      </c>
      <c r="B19" s="31"/>
      <c r="C19" s="31"/>
      <c r="D19" s="31"/>
      <c r="E19" s="31"/>
      <c r="F19" s="51" t="n">
        <v>0</v>
      </c>
      <c r="G19" s="51" t="n">
        <v>0</v>
      </c>
      <c r="H19" s="51" t="n">
        <v>0</v>
      </c>
      <c r="I19" s="51" t="n">
        <v>0</v>
      </c>
      <c r="J19" s="51" t="n">
        <v>0</v>
      </c>
    </row>
    <row r="20" customFormat="false" ht="15" hidden="false" customHeight="true" outlineLevel="0" collapsed="false">
      <c r="A20" s="31"/>
      <c r="B20" s="31"/>
      <c r="C20" s="31"/>
      <c r="D20" s="31"/>
      <c r="E20" s="31"/>
      <c r="F20" s="52"/>
      <c r="G20" s="52"/>
      <c r="H20" s="52"/>
      <c r="I20" s="52"/>
      <c r="J20" s="52"/>
    </row>
    <row r="21" customFormat="false" ht="15.75" hidden="false" customHeight="true" outlineLevel="0" collapsed="false">
      <c r="A21" s="35" t="s">
        <v>89</v>
      </c>
      <c r="B21" s="36" t="n">
        <v>-142394</v>
      </c>
      <c r="C21" s="36" t="n">
        <v>-150572</v>
      </c>
      <c r="D21" s="36" t="n">
        <v>-157523</v>
      </c>
      <c r="E21" s="31"/>
      <c r="F21" s="49" t="n">
        <v>-176694</v>
      </c>
      <c r="G21" s="49" t="n">
        <v>-187296</v>
      </c>
      <c r="H21" s="49" t="n">
        <v>-198534</v>
      </c>
      <c r="I21" s="49" t="n">
        <v>-210446</v>
      </c>
      <c r="J21" s="49" t="n">
        <v>-223073</v>
      </c>
    </row>
    <row r="22" customFormat="false" ht="15.75" hidden="false" customHeight="true" outlineLevel="0" collapsed="false">
      <c r="A22" s="35" t="s">
        <v>90</v>
      </c>
      <c r="B22" s="53" t="n">
        <v>-0.8</v>
      </c>
      <c r="C22" s="53" t="n">
        <v>-0.8</v>
      </c>
      <c r="D22" s="53" t="n">
        <v>-0.76</v>
      </c>
      <c r="E22" s="31"/>
      <c r="F22" s="51" t="n">
        <f aca="false">CHOOSE($B$5,F23,F24,F25)</f>
        <v>-0.78</v>
      </c>
      <c r="G22" s="51" t="n">
        <f aca="false">CHOOSE($B$5,G23,G24,G25)</f>
        <v>-0.78</v>
      </c>
      <c r="H22" s="51" t="n">
        <f aca="false">CHOOSE($B$5,H23,H24,H25)</f>
        <v>-0.78</v>
      </c>
      <c r="I22" s="51" t="n">
        <f aca="false">CHOOSE($B$5,I23,I24,I25)</f>
        <v>-0.78</v>
      </c>
      <c r="J22" s="51" t="n">
        <f aca="false">CHOOSE($B$5,J23,J24,J25)</f>
        <v>-0.78</v>
      </c>
    </row>
    <row r="23" customFormat="false" ht="15.75" hidden="false" customHeight="true" outlineLevel="0" collapsed="false">
      <c r="A23" s="35" t="s">
        <v>86</v>
      </c>
      <c r="B23" s="31"/>
      <c r="C23" s="31"/>
      <c r="D23" s="31"/>
      <c r="E23" s="31"/>
      <c r="F23" s="51" t="n">
        <v>-0.76</v>
      </c>
      <c r="G23" s="51" t="n">
        <v>-0.76</v>
      </c>
      <c r="H23" s="51" t="n">
        <v>-0.76</v>
      </c>
      <c r="I23" s="51" t="n">
        <v>-0.76</v>
      </c>
      <c r="J23" s="51" t="n">
        <v>-0.76</v>
      </c>
    </row>
    <row r="24" customFormat="false" ht="15.75" hidden="false" customHeight="true" outlineLevel="0" collapsed="false">
      <c r="A24" s="35" t="s">
        <v>87</v>
      </c>
      <c r="B24" s="31"/>
      <c r="C24" s="31"/>
      <c r="D24" s="31"/>
      <c r="E24" s="31"/>
      <c r="F24" s="51" t="n">
        <v>-0.78</v>
      </c>
      <c r="G24" s="51" t="n">
        <v>-0.78</v>
      </c>
      <c r="H24" s="51" t="n">
        <v>-0.78</v>
      </c>
      <c r="I24" s="51" t="n">
        <v>-0.78</v>
      </c>
      <c r="J24" s="51" t="n">
        <v>-0.78</v>
      </c>
    </row>
    <row r="25" customFormat="false" ht="15.75" hidden="false" customHeight="true" outlineLevel="0" collapsed="false">
      <c r="A25" s="35" t="s">
        <v>88</v>
      </c>
      <c r="B25" s="31"/>
      <c r="C25" s="31"/>
      <c r="D25" s="31"/>
      <c r="E25" s="31"/>
      <c r="F25" s="51" t="n">
        <v>-0.8</v>
      </c>
      <c r="G25" s="51" t="n">
        <v>-0.8</v>
      </c>
      <c r="H25" s="51" t="n">
        <v>-0.8</v>
      </c>
      <c r="I25" s="51" t="n">
        <v>-0.8</v>
      </c>
      <c r="J25" s="51" t="n">
        <v>-0.8</v>
      </c>
    </row>
    <row r="26" customFormat="false" ht="15.75" hidden="false" customHeight="true" outlineLevel="0" collapsed="false">
      <c r="A26" s="31"/>
      <c r="B26" s="31"/>
      <c r="C26" s="31"/>
      <c r="D26" s="31"/>
      <c r="E26" s="31"/>
      <c r="F26" s="52"/>
      <c r="G26" s="52"/>
      <c r="H26" s="52"/>
      <c r="I26" s="52"/>
      <c r="J26" s="52"/>
    </row>
    <row r="27" customFormat="false" ht="15.75" hidden="false" customHeight="true" outlineLevel="0" collapsed="false">
      <c r="A27" s="35" t="s">
        <v>91</v>
      </c>
      <c r="B27" s="36" t="n">
        <v>-18011</v>
      </c>
      <c r="C27" s="36" t="n">
        <v>-19248</v>
      </c>
      <c r="D27" s="36" t="n">
        <v>-23867</v>
      </c>
      <c r="E27" s="31"/>
      <c r="F27" s="49" t="n">
        <v>-24295</v>
      </c>
      <c r="G27" s="49" t="n">
        <v>-25753</v>
      </c>
      <c r="H27" s="49" t="n">
        <v>-27298</v>
      </c>
      <c r="I27" s="49" t="n">
        <v>-28936</v>
      </c>
      <c r="J27" s="49" t="n">
        <v>-30672</v>
      </c>
    </row>
    <row r="28" customFormat="false" ht="15.75" hidden="false" customHeight="true" outlineLevel="0" collapsed="false">
      <c r="A28" s="35" t="s">
        <v>90</v>
      </c>
      <c r="B28" s="53" t="n">
        <v>-0.1</v>
      </c>
      <c r="C28" s="53" t="n">
        <v>-0.1</v>
      </c>
      <c r="D28" s="53" t="n">
        <v>-0.11</v>
      </c>
      <c r="E28" s="31"/>
      <c r="F28" s="51" t="n">
        <f aca="false">CHOOSE($B$5,F29,F30,F31)</f>
        <v>-0.11</v>
      </c>
      <c r="G28" s="51" t="n">
        <f aca="false">CHOOSE($B$5,G29,G30,G31)</f>
        <v>-0.11</v>
      </c>
      <c r="H28" s="51" t="n">
        <f aca="false">CHOOSE($B$5,H29,H30,H31)</f>
        <v>-0.11</v>
      </c>
      <c r="I28" s="51" t="n">
        <f aca="false">CHOOSE($B$5,I29,I30,I31)</f>
        <v>-0.11</v>
      </c>
      <c r="J28" s="51" t="n">
        <f aca="false">CHOOSE($B$5,J29,J30,J31)</f>
        <v>-0.11</v>
      </c>
    </row>
    <row r="29" customFormat="false" ht="15.75" hidden="false" customHeight="true" outlineLevel="0" collapsed="false">
      <c r="A29" s="35" t="s">
        <v>86</v>
      </c>
      <c r="B29" s="31"/>
      <c r="C29" s="31"/>
      <c r="D29" s="31"/>
      <c r="E29" s="31"/>
      <c r="F29" s="51" t="n">
        <v>-0.1</v>
      </c>
      <c r="G29" s="51" t="n">
        <v>-0.1</v>
      </c>
      <c r="H29" s="51" t="n">
        <v>-0.1</v>
      </c>
      <c r="I29" s="51" t="n">
        <v>-0.1</v>
      </c>
      <c r="J29" s="51" t="n">
        <v>-0.1</v>
      </c>
    </row>
    <row r="30" customFormat="false" ht="15.75" hidden="false" customHeight="true" outlineLevel="0" collapsed="false">
      <c r="A30" s="35" t="s">
        <v>87</v>
      </c>
      <c r="B30" s="31"/>
      <c r="C30" s="31"/>
      <c r="D30" s="31"/>
      <c r="E30" s="31"/>
      <c r="F30" s="51" t="n">
        <v>-0.11</v>
      </c>
      <c r="G30" s="51" t="n">
        <v>-0.11</v>
      </c>
      <c r="H30" s="51" t="n">
        <v>-0.11</v>
      </c>
      <c r="I30" s="51" t="n">
        <v>-0.11</v>
      </c>
      <c r="J30" s="51" t="n">
        <v>-0.11</v>
      </c>
    </row>
    <row r="31" customFormat="false" ht="15.75" hidden="false" customHeight="true" outlineLevel="0" collapsed="false">
      <c r="A31" s="35" t="s">
        <v>88</v>
      </c>
      <c r="B31" s="31"/>
      <c r="C31" s="31"/>
      <c r="D31" s="31"/>
      <c r="E31" s="31"/>
      <c r="F31" s="51" t="n">
        <v>-0.11</v>
      </c>
      <c r="G31" s="51" t="n">
        <v>-0.11</v>
      </c>
      <c r="H31" s="51" t="n">
        <v>-0.11</v>
      </c>
      <c r="I31" s="51" t="n">
        <v>-0.11</v>
      </c>
      <c r="J31" s="51" t="n">
        <v>-0.11</v>
      </c>
    </row>
    <row r="32" customFormat="false" ht="15.75" hidden="false" customHeight="true" outlineLevel="0" collapsed="false">
      <c r="A32" s="31"/>
      <c r="B32" s="31"/>
      <c r="C32" s="31"/>
      <c r="D32" s="31"/>
      <c r="E32" s="31"/>
      <c r="F32" s="52"/>
      <c r="G32" s="52"/>
      <c r="H32" s="52"/>
      <c r="I32" s="52"/>
      <c r="J32" s="52"/>
    </row>
    <row r="33" customFormat="false" ht="15.75" hidden="false" customHeight="true" outlineLevel="0" collapsed="false">
      <c r="A33" s="35" t="s">
        <v>31</v>
      </c>
      <c r="B33" s="36" t="n">
        <v>-2908</v>
      </c>
      <c r="C33" s="36" t="n">
        <v>-4650</v>
      </c>
      <c r="D33" s="36" t="n">
        <v>-6431</v>
      </c>
      <c r="E33" s="31"/>
      <c r="F33" s="54" t="n">
        <v>-6626</v>
      </c>
      <c r="G33" s="49" t="n">
        <v>-7024</v>
      </c>
      <c r="H33" s="49" t="n">
        <v>-7445</v>
      </c>
      <c r="I33" s="49" t="n">
        <v>-7892</v>
      </c>
      <c r="J33" s="49" t="n">
        <v>-8365</v>
      </c>
    </row>
    <row r="34" customFormat="false" ht="15.75" hidden="false" customHeight="true" outlineLevel="0" collapsed="false">
      <c r="A34" s="35" t="s">
        <v>90</v>
      </c>
      <c r="B34" s="53" t="n">
        <v>-0.02</v>
      </c>
      <c r="C34" s="53" t="n">
        <v>-0.02</v>
      </c>
      <c r="D34" s="53" t="n">
        <v>-0.03</v>
      </c>
      <c r="E34" s="31"/>
      <c r="F34" s="51" t="n">
        <f aca="false">CHOOSE($B$5,F35,F36,F37)</f>
        <v>-0.03</v>
      </c>
      <c r="G34" s="51" t="n">
        <f aca="false">CHOOSE($B$5,G35,G36,G37)</f>
        <v>-0.03</v>
      </c>
      <c r="H34" s="51" t="n">
        <f aca="false">CHOOSE($B$5,H35,H36,H37)</f>
        <v>-0.03</v>
      </c>
      <c r="I34" s="51" t="n">
        <f aca="false">CHOOSE($B$5,I35,I36,I37)</f>
        <v>-0.03</v>
      </c>
      <c r="J34" s="51" t="n">
        <f aca="false">CHOOSE($B$5,J35,J36,J37)</f>
        <v>-0.03</v>
      </c>
    </row>
    <row r="35" customFormat="false" ht="15.75" hidden="false" customHeight="true" outlineLevel="0" collapsed="false">
      <c r="A35" s="35" t="s">
        <v>86</v>
      </c>
      <c r="B35" s="31"/>
      <c r="C35" s="31"/>
      <c r="D35" s="31"/>
      <c r="E35" s="31"/>
      <c r="F35" s="51" t="n">
        <v>-0.02</v>
      </c>
      <c r="G35" s="51" t="n">
        <v>-0.02</v>
      </c>
      <c r="H35" s="51" t="n">
        <v>-0.02</v>
      </c>
      <c r="I35" s="51" t="n">
        <v>-0.02</v>
      </c>
      <c r="J35" s="51" t="n">
        <v>-0.02</v>
      </c>
    </row>
    <row r="36" customFormat="false" ht="15.75" hidden="false" customHeight="true" outlineLevel="0" collapsed="false">
      <c r="A36" s="35" t="s">
        <v>87</v>
      </c>
      <c r="B36" s="31"/>
      <c r="C36" s="31"/>
      <c r="D36" s="31"/>
      <c r="E36" s="31"/>
      <c r="F36" s="51" t="n">
        <v>-0.03</v>
      </c>
      <c r="G36" s="51" t="n">
        <v>-0.03</v>
      </c>
      <c r="H36" s="51" t="n">
        <v>-0.03</v>
      </c>
      <c r="I36" s="51" t="n">
        <v>-0.03</v>
      </c>
      <c r="J36" s="51" t="n">
        <v>-0.03</v>
      </c>
    </row>
    <row r="37" customFormat="false" ht="15.75" hidden="false" customHeight="true" outlineLevel="0" collapsed="false">
      <c r="A37" s="35" t="s">
        <v>88</v>
      </c>
      <c r="B37" s="31"/>
      <c r="C37" s="31"/>
      <c r="D37" s="31"/>
      <c r="E37" s="31"/>
      <c r="F37" s="51" t="n">
        <v>-0.03</v>
      </c>
      <c r="G37" s="51" t="n">
        <v>-0.03</v>
      </c>
      <c r="H37" s="51" t="n">
        <v>-0.03</v>
      </c>
      <c r="I37" s="51" t="n">
        <v>-0.03</v>
      </c>
      <c r="J37" s="51" t="n">
        <v>-0.03</v>
      </c>
    </row>
    <row r="38" customFormat="false" ht="15.75" hidden="false" customHeight="true" outlineLevel="0" collapsed="false">
      <c r="A38" s="31"/>
      <c r="B38" s="31"/>
      <c r="C38" s="31"/>
      <c r="D38" s="31"/>
      <c r="E38" s="31"/>
      <c r="F38" s="52"/>
      <c r="G38" s="52"/>
      <c r="H38" s="52"/>
      <c r="I38" s="52"/>
      <c r="J38" s="52"/>
    </row>
    <row r="39" customFormat="false" ht="15.75" hidden="false" customHeight="true" outlineLevel="0" collapsed="false">
      <c r="A39" s="35" t="s">
        <v>92</v>
      </c>
      <c r="B39" s="36" t="n">
        <v>-1266</v>
      </c>
      <c r="C39" s="36" t="n">
        <v>-2191</v>
      </c>
      <c r="D39" s="36" t="n">
        <v>-2664</v>
      </c>
      <c r="E39" s="31"/>
      <c r="F39" s="49" t="n">
        <v>-2664</v>
      </c>
      <c r="G39" s="49" t="n">
        <v>-2664</v>
      </c>
      <c r="H39" s="49" t="n">
        <v>-2664</v>
      </c>
      <c r="I39" s="49" t="n">
        <v>-2664</v>
      </c>
      <c r="J39" s="49" t="n">
        <v>-2664</v>
      </c>
    </row>
    <row r="40" customFormat="false" ht="15.75" hidden="false" customHeight="true" outlineLevel="0" collapsed="false">
      <c r="A40" s="35" t="s">
        <v>85</v>
      </c>
      <c r="B40" s="31"/>
      <c r="C40" s="31"/>
      <c r="D40" s="31"/>
      <c r="E40" s="31"/>
      <c r="F40" s="51" t="n">
        <f aca="false">CHOOSE($B$5,F41,F42,F43)</f>
        <v>0</v>
      </c>
      <c r="G40" s="51" t="n">
        <f aca="false">CHOOSE($B$5,G41,G42,G43)</f>
        <v>0</v>
      </c>
      <c r="H40" s="51" t="n">
        <f aca="false">CHOOSE($B$5,H41,H42,H43)</f>
        <v>0</v>
      </c>
      <c r="I40" s="51" t="n">
        <f aca="false">CHOOSE($B$5,I41,I42,I43)</f>
        <v>0</v>
      </c>
      <c r="J40" s="51" t="n">
        <f aca="false">CHOOSE($B$5,J41,J42,J43)</f>
        <v>0</v>
      </c>
    </row>
    <row r="41" customFormat="false" ht="15.75" hidden="false" customHeight="true" outlineLevel="0" collapsed="false">
      <c r="A41" s="35" t="s">
        <v>86</v>
      </c>
      <c r="B41" s="31"/>
      <c r="C41" s="31"/>
      <c r="D41" s="31"/>
      <c r="E41" s="31"/>
      <c r="F41" s="51" t="n">
        <v>0</v>
      </c>
      <c r="G41" s="51" t="n">
        <v>0</v>
      </c>
      <c r="H41" s="51" t="n">
        <v>0</v>
      </c>
      <c r="I41" s="51" t="n">
        <v>0</v>
      </c>
      <c r="J41" s="51" t="n">
        <v>0</v>
      </c>
    </row>
    <row r="42" customFormat="false" ht="15.75" hidden="false" customHeight="true" outlineLevel="0" collapsed="false">
      <c r="A42" s="35" t="s">
        <v>87</v>
      </c>
      <c r="B42" s="31"/>
      <c r="C42" s="31"/>
      <c r="D42" s="31"/>
      <c r="E42" s="31"/>
      <c r="F42" s="51" t="n">
        <v>0</v>
      </c>
      <c r="G42" s="51" t="n">
        <v>0</v>
      </c>
      <c r="H42" s="51" t="n">
        <v>0</v>
      </c>
      <c r="I42" s="51" t="n">
        <v>0</v>
      </c>
      <c r="J42" s="51" t="n">
        <v>0</v>
      </c>
    </row>
    <row r="43" customFormat="false" ht="15.75" hidden="false" customHeight="true" outlineLevel="0" collapsed="false">
      <c r="A43" s="35" t="s">
        <v>88</v>
      </c>
      <c r="B43" s="31"/>
      <c r="C43" s="31"/>
      <c r="D43" s="31"/>
      <c r="E43" s="31"/>
      <c r="F43" s="51" t="n">
        <v>0</v>
      </c>
      <c r="G43" s="51" t="n">
        <v>0</v>
      </c>
      <c r="H43" s="51" t="n">
        <v>0</v>
      </c>
      <c r="I43" s="51" t="n">
        <v>0</v>
      </c>
      <c r="J43" s="51" t="n">
        <v>0</v>
      </c>
    </row>
    <row r="44" customFormat="false" ht="15.75" hidden="false" customHeight="true" outlineLevel="0" collapsed="false">
      <c r="A44" s="31"/>
      <c r="B44" s="31"/>
      <c r="C44" s="31"/>
      <c r="D44" s="31"/>
      <c r="E44" s="31"/>
      <c r="F44" s="52"/>
      <c r="G44" s="52"/>
      <c r="H44" s="52"/>
      <c r="I44" s="52"/>
      <c r="J44" s="52"/>
    </row>
    <row r="45" customFormat="false" ht="15.75" hidden="false" customHeight="true" outlineLevel="0" collapsed="false">
      <c r="A45" s="35" t="s">
        <v>34</v>
      </c>
      <c r="B45" s="42" t="n">
        <v>-318</v>
      </c>
      <c r="C45" s="42" t="n">
        <v>-864</v>
      </c>
      <c r="D45" s="42" t="n">
        <v>-320</v>
      </c>
      <c r="E45" s="31"/>
      <c r="F45" s="55" t="s">
        <v>93</v>
      </c>
      <c r="G45" s="55" t="s">
        <v>93</v>
      </c>
      <c r="H45" s="55" t="s">
        <v>93</v>
      </c>
      <c r="I45" s="55" t="s">
        <v>93</v>
      </c>
      <c r="J45" s="55" t="s">
        <v>93</v>
      </c>
    </row>
    <row r="46" customFormat="false" ht="15.75" hidden="false" customHeight="true" outlineLevel="0" collapsed="false">
      <c r="A46" s="35" t="s">
        <v>85</v>
      </c>
      <c r="B46" s="31"/>
      <c r="C46" s="50" t="n">
        <v>1.722</v>
      </c>
      <c r="D46" s="50" t="n">
        <v>-0.629</v>
      </c>
      <c r="E46" s="31"/>
      <c r="F46" s="51" t="n">
        <f aca="false">CHOOSE($B$5,F47,F48,F49)</f>
        <v>0</v>
      </c>
      <c r="G46" s="51" t="n">
        <f aca="false">CHOOSE($B$5,G47,G48,G49)</f>
        <v>0</v>
      </c>
      <c r="H46" s="51" t="n">
        <f aca="false">CHOOSE($B$5,H47,H48,H49)</f>
        <v>0</v>
      </c>
      <c r="I46" s="51" t="n">
        <f aca="false">CHOOSE($B$5,I47,I48,I49)</f>
        <v>0</v>
      </c>
      <c r="J46" s="51" t="n">
        <f aca="false">CHOOSE($B$5,J47,J48,J49)</f>
        <v>0</v>
      </c>
    </row>
    <row r="47" customFormat="false" ht="15.75" hidden="false" customHeight="true" outlineLevel="0" collapsed="false">
      <c r="A47" s="35" t="s">
        <v>86</v>
      </c>
      <c r="B47" s="31"/>
      <c r="C47" s="31"/>
      <c r="D47" s="31"/>
      <c r="E47" s="31"/>
      <c r="F47" s="51" t="n">
        <v>0</v>
      </c>
      <c r="G47" s="51" t="n">
        <v>0</v>
      </c>
      <c r="H47" s="51" t="n">
        <v>0</v>
      </c>
      <c r="I47" s="51" t="n">
        <v>0</v>
      </c>
      <c r="J47" s="51" t="n">
        <v>0</v>
      </c>
    </row>
    <row r="48" customFormat="false" ht="15.75" hidden="false" customHeight="true" outlineLevel="0" collapsed="false">
      <c r="A48" s="35" t="s">
        <v>87</v>
      </c>
      <c r="B48" s="31"/>
      <c r="C48" s="31"/>
      <c r="D48" s="31"/>
      <c r="E48" s="31"/>
      <c r="F48" s="51" t="n">
        <v>0</v>
      </c>
      <c r="G48" s="51" t="n">
        <v>0</v>
      </c>
      <c r="H48" s="51" t="n">
        <v>0</v>
      </c>
      <c r="I48" s="51" t="n">
        <v>0</v>
      </c>
      <c r="J48" s="51" t="n">
        <v>0</v>
      </c>
    </row>
    <row r="49" customFormat="false" ht="15.75" hidden="false" customHeight="true" outlineLevel="0" collapsed="false">
      <c r="A49" s="35" t="s">
        <v>88</v>
      </c>
      <c r="B49" s="31"/>
      <c r="C49" s="31"/>
      <c r="D49" s="31"/>
      <c r="E49" s="31"/>
      <c r="F49" s="51" t="n">
        <v>0</v>
      </c>
      <c r="G49" s="51" t="n">
        <v>0</v>
      </c>
      <c r="H49" s="51" t="n">
        <v>0</v>
      </c>
      <c r="I49" s="51" t="n">
        <v>0</v>
      </c>
      <c r="J49" s="51" t="n">
        <v>0</v>
      </c>
    </row>
    <row r="50" customFormat="false" ht="15.75" hidden="false" customHeight="true" outlineLevel="0" collapsed="false">
      <c r="A50" s="31"/>
      <c r="B50" s="31"/>
      <c r="C50" s="31"/>
      <c r="D50" s="31"/>
      <c r="E50" s="31"/>
      <c r="F50" s="52"/>
      <c r="G50" s="52"/>
      <c r="H50" s="52"/>
      <c r="I50" s="52"/>
      <c r="J50" s="52"/>
    </row>
    <row r="51" customFormat="false" ht="15.75" hidden="false" customHeight="true" outlineLevel="0" collapsed="false">
      <c r="A51" s="35" t="s">
        <v>36</v>
      </c>
      <c r="B51" s="36" t="n">
        <v>-3806</v>
      </c>
      <c r="C51" s="36" t="n">
        <v>-3050</v>
      </c>
      <c r="D51" s="36" t="n">
        <v>-3815</v>
      </c>
      <c r="E51" s="31"/>
      <c r="F51" s="52"/>
      <c r="G51" s="52"/>
      <c r="H51" s="52"/>
      <c r="I51" s="52"/>
      <c r="J51" s="52"/>
    </row>
    <row r="52" customFormat="false" ht="15.75" hidden="false" customHeight="true" outlineLevel="0" collapsed="false">
      <c r="A52" s="35" t="s">
        <v>94</v>
      </c>
      <c r="B52" s="53" t="n">
        <v>-0.24</v>
      </c>
      <c r="C52" s="53" t="n">
        <v>-0.23</v>
      </c>
      <c r="D52" s="53" t="n">
        <v>-0.19</v>
      </c>
      <c r="E52" s="31"/>
      <c r="F52" s="51" t="n">
        <f aca="false">CHOOSE($B$5,F53,F54,F55)</f>
        <v>-0.2</v>
      </c>
      <c r="G52" s="51" t="n">
        <f aca="false">CHOOSE($B$5,G53,G54,G55)</f>
        <v>-0.2</v>
      </c>
      <c r="H52" s="51" t="n">
        <f aca="false">CHOOSE($B$5,H53,H54,H55)</f>
        <v>-0.2</v>
      </c>
      <c r="I52" s="51" t="n">
        <f aca="false">CHOOSE($B$5,I53,I54,I55)</f>
        <v>-0.2</v>
      </c>
      <c r="J52" s="51" t="n">
        <f aca="false">CHOOSE($B$5,J53,J54,J55)</f>
        <v>-0.2</v>
      </c>
    </row>
    <row r="53" customFormat="false" ht="15.75" hidden="false" customHeight="true" outlineLevel="0" collapsed="false">
      <c r="A53" s="35" t="s">
        <v>86</v>
      </c>
      <c r="B53" s="31"/>
      <c r="C53" s="31"/>
      <c r="D53" s="31"/>
      <c r="E53" s="31"/>
      <c r="F53" s="51" t="n">
        <v>-0.18</v>
      </c>
      <c r="G53" s="51" t="n">
        <v>-0.18</v>
      </c>
      <c r="H53" s="51" t="n">
        <v>-0.18</v>
      </c>
      <c r="I53" s="51" t="n">
        <v>-0.18</v>
      </c>
      <c r="J53" s="51" t="n">
        <v>-0.18</v>
      </c>
    </row>
    <row r="54" customFormat="false" ht="15.75" hidden="false" customHeight="true" outlineLevel="0" collapsed="false">
      <c r="A54" s="35" t="s">
        <v>87</v>
      </c>
      <c r="B54" s="31"/>
      <c r="C54" s="31"/>
      <c r="D54" s="31"/>
      <c r="E54" s="31"/>
      <c r="F54" s="51" t="n">
        <v>-0.2</v>
      </c>
      <c r="G54" s="51" t="n">
        <v>-0.2</v>
      </c>
      <c r="H54" s="51" t="n">
        <v>-0.2</v>
      </c>
      <c r="I54" s="51" t="n">
        <v>-0.2</v>
      </c>
      <c r="J54" s="51" t="n">
        <v>-0.2</v>
      </c>
    </row>
    <row r="55" customFormat="false" ht="15.75" hidden="false" customHeight="true" outlineLevel="0" collapsed="false">
      <c r="A55" s="35" t="s">
        <v>88</v>
      </c>
      <c r="B55" s="31"/>
      <c r="C55" s="31"/>
      <c r="D55" s="31"/>
      <c r="E55" s="31"/>
      <c r="F55" s="51" t="n">
        <v>-0.22</v>
      </c>
      <c r="G55" s="51" t="n">
        <v>-0.22</v>
      </c>
      <c r="H55" s="51" t="n">
        <v>-0.22</v>
      </c>
      <c r="I55" s="51" t="n">
        <v>-0.22</v>
      </c>
      <c r="J55" s="51" t="n">
        <v>-0.22</v>
      </c>
    </row>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18.43"/>
    <col collapsed="false" customWidth="true" hidden="false" outlineLevel="0" max="3" min="3" style="1" width="12"/>
    <col collapsed="false" customWidth="true" hidden="false" outlineLevel="0" max="6" min="4" style="1" width="8.71"/>
    <col collapsed="false" customWidth="true" hidden="false" outlineLevel="0" max="7" min="7" style="1" width="13.86"/>
    <col collapsed="false" customWidth="true" hidden="false" outlineLevel="0" max="26" min="8" style="1" width="8.71"/>
  </cols>
  <sheetData>
    <row r="1" customFormat="false" ht="15" hidden="false" customHeight="true" outlineLevel="0" collapsed="false">
      <c r="B1" s="15" t="s">
        <v>6</v>
      </c>
      <c r="C1" s="16"/>
      <c r="D1" s="16"/>
      <c r="E1" s="16"/>
      <c r="F1" s="16"/>
      <c r="G1" s="16"/>
      <c r="H1" s="16"/>
      <c r="I1" s="16"/>
      <c r="J1" s="16"/>
      <c r="K1" s="16"/>
    </row>
    <row r="2" customFormat="false" ht="15" hidden="false" customHeight="true" outlineLevel="0" collapsed="false">
      <c r="B2" s="16"/>
      <c r="C2" s="16"/>
      <c r="D2" s="16"/>
      <c r="E2" s="16"/>
      <c r="F2" s="16"/>
      <c r="G2" s="16"/>
      <c r="H2" s="16"/>
      <c r="I2" s="16"/>
      <c r="J2" s="16"/>
      <c r="K2" s="16"/>
    </row>
    <row r="3" customFormat="false" ht="15" hidden="false" customHeight="true" outlineLevel="0" collapsed="false">
      <c r="B3" s="16"/>
      <c r="C3" s="16"/>
      <c r="D3" s="16"/>
      <c r="E3" s="16"/>
      <c r="F3" s="16"/>
      <c r="G3" s="16"/>
      <c r="H3" s="16"/>
      <c r="I3" s="16"/>
      <c r="J3" s="16"/>
      <c r="K3" s="16"/>
    </row>
    <row r="4" customFormat="false" ht="21.75" hidden="false" customHeight="true" outlineLevel="0" collapsed="false">
      <c r="B4" s="56" t="s">
        <v>73</v>
      </c>
      <c r="C4" s="57" t="s">
        <v>95</v>
      </c>
      <c r="D4" s="57" t="s">
        <v>96</v>
      </c>
      <c r="E4" s="57" t="s">
        <v>97</v>
      </c>
      <c r="F4" s="16"/>
      <c r="G4" s="58" t="s">
        <v>98</v>
      </c>
      <c r="H4" s="58" t="s">
        <v>99</v>
      </c>
      <c r="I4" s="58" t="s">
        <v>100</v>
      </c>
      <c r="J4" s="58" t="s">
        <v>101</v>
      </c>
      <c r="K4" s="58" t="s">
        <v>102</v>
      </c>
    </row>
    <row r="5" customFormat="false" ht="15" hidden="false" customHeight="true" outlineLevel="0" collapsed="false">
      <c r="B5" s="20" t="s">
        <v>103</v>
      </c>
      <c r="C5" s="21" t="n">
        <v>32884</v>
      </c>
      <c r="D5" s="21" t="n">
        <v>38556</v>
      </c>
      <c r="E5" s="21" t="n">
        <v>43582</v>
      </c>
      <c r="F5" s="16"/>
      <c r="G5" s="59" t="n">
        <f aca="false">(G6*'P&amp;L assumptions'!F9)/365</f>
        <v>46486.7400328767</v>
      </c>
      <c r="H5" s="59" t="n">
        <f aca="false">(H6*'P&amp;L assumptions'!G9)/365</f>
        <v>50205.6792355069</v>
      </c>
      <c r="I5" s="59" t="n">
        <f aca="false">(I6*'P&amp;L assumptions'!H9)/365</f>
        <v>54222.1335743474</v>
      </c>
      <c r="J5" s="59" t="n">
        <f aca="false">(J6*'P&amp;L assumptions'!I9)/365</f>
        <v>58559.9042602952</v>
      </c>
      <c r="K5" s="59" t="n">
        <f aca="false">(K6*'P&amp;L assumptions'!J9)/365</f>
        <v>63244.6966011188</v>
      </c>
    </row>
    <row r="6" customFormat="false" ht="15" hidden="false" customHeight="true" outlineLevel="0" collapsed="false">
      <c r="B6" s="60" t="s">
        <v>104</v>
      </c>
      <c r="C6" s="61" t="n">
        <v>66.4</v>
      </c>
      <c r="D6" s="61" t="n">
        <v>73.7</v>
      </c>
      <c r="E6" s="61" t="n">
        <v>75.4</v>
      </c>
      <c r="F6" s="16"/>
      <c r="G6" s="62" t="n">
        <v>75.4</v>
      </c>
      <c r="H6" s="62" t="n">
        <v>75.4</v>
      </c>
      <c r="I6" s="62" t="n">
        <v>75.4</v>
      </c>
      <c r="J6" s="62" t="n">
        <v>75.4</v>
      </c>
      <c r="K6" s="62" t="n">
        <v>75.4</v>
      </c>
    </row>
    <row r="7" customFormat="false" ht="15" hidden="false" customHeight="true" outlineLevel="0" collapsed="false">
      <c r="B7" s="16"/>
      <c r="C7" s="16"/>
      <c r="D7" s="16"/>
      <c r="E7" s="16"/>
      <c r="F7" s="16"/>
      <c r="G7" s="59"/>
      <c r="H7" s="59"/>
      <c r="I7" s="59"/>
      <c r="J7" s="59"/>
      <c r="K7" s="59"/>
    </row>
    <row r="8" customFormat="false" ht="15" hidden="false" customHeight="true" outlineLevel="0" collapsed="false">
      <c r="B8" s="20" t="s">
        <v>51</v>
      </c>
      <c r="C8" s="21" t="n">
        <v>31167</v>
      </c>
      <c r="D8" s="21" t="n">
        <v>36397</v>
      </c>
      <c r="E8" s="21" t="n">
        <v>46212</v>
      </c>
      <c r="F8" s="16"/>
      <c r="G8" s="59" t="n">
        <f aca="false">-(G9*'P&amp;L assumptions'!F21)/365</f>
        <v>51836.1326790374</v>
      </c>
      <c r="H8" s="59" t="n">
        <f aca="false">-(H9*'P&amp;L assumptions'!G21)/365</f>
        <v>54946.4062517855</v>
      </c>
      <c r="I8" s="59" t="n">
        <f aca="false">-(I9*'P&amp;L assumptions'!H21)/365</f>
        <v>58243.2610348965</v>
      </c>
      <c r="J8" s="59" t="n">
        <f aca="false">-(J9*'P&amp;L assumptions'!I21)/365</f>
        <v>61737.844962323</v>
      </c>
      <c r="K8" s="59" t="n">
        <f aca="false">-(K9*'P&amp;L assumptions'!J21)/365</f>
        <v>65442.1860680663</v>
      </c>
    </row>
    <row r="9" customFormat="false" ht="15" hidden="false" customHeight="true" outlineLevel="0" collapsed="false">
      <c r="B9" s="60" t="s">
        <v>105</v>
      </c>
      <c r="C9" s="63" t="n">
        <f aca="false">-(C8/'P&amp;L assumptions'!B21)*365</f>
        <v>79.8906906189868</v>
      </c>
      <c r="D9" s="63" t="n">
        <f aca="false">-(D8/'P&amp;L assumptions'!C21)*365</f>
        <v>88.2295845177058</v>
      </c>
      <c r="E9" s="63" t="n">
        <f aca="false">-(E8/'P&amp;L assumptions'!D21)*365</f>
        <v>107.078839280613</v>
      </c>
      <c r="F9" s="16"/>
      <c r="G9" s="64" t="n">
        <f aca="false">$E$9</f>
        <v>107.078839280613</v>
      </c>
      <c r="H9" s="64" t="n">
        <f aca="false">$E$9</f>
        <v>107.078839280613</v>
      </c>
      <c r="I9" s="64" t="n">
        <f aca="false">$E$9</f>
        <v>107.078839280613</v>
      </c>
      <c r="J9" s="64" t="n">
        <f aca="false">$E$9</f>
        <v>107.078839280613</v>
      </c>
      <c r="K9" s="64" t="n">
        <f aca="false">$E$9</f>
        <v>107.078839280613</v>
      </c>
    </row>
    <row r="10" customFormat="false" ht="15" hidden="false" customHeight="true" outlineLevel="0" collapsed="false">
      <c r="B10" s="16"/>
      <c r="C10" s="16"/>
      <c r="D10" s="16"/>
      <c r="E10" s="16"/>
      <c r="F10" s="16"/>
      <c r="G10" s="59"/>
      <c r="H10" s="59"/>
      <c r="I10" s="59"/>
      <c r="J10" s="59"/>
      <c r="K10" s="59"/>
    </row>
    <row r="11" customFormat="false" ht="15" hidden="false" customHeight="true" outlineLevel="0" collapsed="false">
      <c r="B11" s="20" t="s">
        <v>52</v>
      </c>
      <c r="C11" s="21" t="n">
        <v>15891</v>
      </c>
      <c r="D11" s="21" t="n">
        <v>26352</v>
      </c>
      <c r="E11" s="21" t="n">
        <v>36190</v>
      </c>
      <c r="F11" s="16"/>
      <c r="G11" s="59" t="n">
        <f aca="false">-(G12*'P&amp;L assumptions'!F21)/365</f>
        <v>40594.4265916723</v>
      </c>
      <c r="H11" s="59" t="n">
        <f aca="false">-(H12*'P&amp;L assumptions'!G21)/365</f>
        <v>43030.1748950947</v>
      </c>
      <c r="I11" s="59" t="n">
        <f aca="false">-(I12*'P&amp;L assumptions'!H21)/365</f>
        <v>45612.0405274151</v>
      </c>
      <c r="J11" s="59" t="n">
        <f aca="false">-(J12*'P&amp;L assumptions'!I21)/365</f>
        <v>48348.7537692908</v>
      </c>
      <c r="K11" s="59" t="n">
        <f aca="false">-(K12*'P&amp;L assumptions'!J21)/365</f>
        <v>51249.734134063</v>
      </c>
    </row>
    <row r="12" customFormat="false" ht="15" hidden="false" customHeight="true" outlineLevel="0" collapsed="false">
      <c r="B12" s="60" t="s">
        <v>106</v>
      </c>
      <c r="C12" s="63" t="n">
        <f aca="false">-(C11/'P&amp;L assumptions'!B21)*365</f>
        <v>40.7335632119331</v>
      </c>
      <c r="D12" s="63" t="n">
        <f aca="false">-(D11/'P&amp;L assumptions'!C21)*365</f>
        <v>63.8796057699971</v>
      </c>
      <c r="E12" s="63" t="n">
        <f aca="false">-(E11/'P&amp;L assumptions'!D21)*365</f>
        <v>83.8566431568723</v>
      </c>
      <c r="F12" s="16"/>
      <c r="G12" s="65" t="n">
        <f aca="false">$E$12</f>
        <v>83.8566431568723</v>
      </c>
      <c r="H12" s="65" t="n">
        <f aca="false">$E$12</f>
        <v>83.8566431568723</v>
      </c>
      <c r="I12" s="65" t="n">
        <f aca="false">$E$12</f>
        <v>83.8566431568723</v>
      </c>
      <c r="J12" s="65" t="n">
        <f aca="false">$E$12</f>
        <v>83.8566431568723</v>
      </c>
      <c r="K12" s="65" t="n">
        <f aca="false">$E$12</f>
        <v>83.8566431568723</v>
      </c>
    </row>
    <row r="13" customFormat="false" ht="15" hidden="false" customHeight="true" outlineLevel="0" collapsed="false">
      <c r="B13" s="16"/>
      <c r="C13" s="16"/>
      <c r="D13" s="16"/>
      <c r="E13" s="16"/>
      <c r="F13" s="16"/>
      <c r="G13" s="59"/>
      <c r="H13" s="59"/>
      <c r="I13" s="59"/>
      <c r="J13" s="59"/>
      <c r="K13" s="59"/>
    </row>
    <row r="14" customFormat="false" ht="15" hidden="false" customHeight="true" outlineLevel="0" collapsed="false">
      <c r="B14" s="20" t="s">
        <v>44</v>
      </c>
      <c r="C14" s="21" t="n">
        <v>45106</v>
      </c>
      <c r="D14" s="21" t="n">
        <v>49072</v>
      </c>
      <c r="E14" s="21" t="n">
        <v>56109</v>
      </c>
      <c r="F14" s="16"/>
      <c r="G14" s="66" t="n">
        <f aca="false">G15*'P&amp;L assumptions'!F9</f>
        <v>58808.5634821924</v>
      </c>
      <c r="H14" s="66" t="n">
        <f aca="false">H15*'P&amp;L assumptions'!G9</f>
        <v>63513.2485607677</v>
      </c>
      <c r="I14" s="66" t="n">
        <f aca="false">I15*'P&amp;L assumptions'!H9</f>
        <v>68594.3084456292</v>
      </c>
      <c r="J14" s="66" t="n">
        <f aca="false">J15*'P&amp;L assumptions'!I9</f>
        <v>74081.8531212795</v>
      </c>
      <c r="K14" s="66" t="n">
        <f aca="false">K15*'P&amp;L assumptions'!J9</f>
        <v>80008.4013709819</v>
      </c>
    </row>
    <row r="15" customFormat="false" ht="15" hidden="false" customHeight="true" outlineLevel="0" collapsed="false">
      <c r="B15" s="60" t="s">
        <v>107</v>
      </c>
      <c r="C15" s="67" t="n">
        <f aca="false">C14/'P&amp;L assumptions'!B9</f>
        <v>0.254544223291931</v>
      </c>
      <c r="D15" s="67" t="n">
        <f aca="false">D14/'P&amp;L assumptions'!C9</f>
        <v>0.260166049899797</v>
      </c>
      <c r="E15" s="67" t="n">
        <f aca="false">E14/'P&amp;L assumptions'!D9</f>
        <v>0.269280976742847</v>
      </c>
      <c r="F15" s="16"/>
      <c r="G15" s="68" t="n">
        <f aca="false">AVERAGE($C$15:$E$15)</f>
        <v>0.261330416644858</v>
      </c>
      <c r="H15" s="68" t="n">
        <f aca="false">AVERAGE($C$15:$E$15)</f>
        <v>0.261330416644858</v>
      </c>
      <c r="I15" s="68" t="n">
        <f aca="false">AVERAGE($C$15:$E$15)</f>
        <v>0.261330416644858</v>
      </c>
      <c r="J15" s="68" t="n">
        <f aca="false">AVERAGE($C$15:$E$15)</f>
        <v>0.261330416644858</v>
      </c>
      <c r="K15" s="68" t="n">
        <f aca="false">AVERAGE($C$15:$E$15)</f>
        <v>0.261330416644858</v>
      </c>
    </row>
    <row r="16" customFormat="false" ht="15" hidden="false" customHeight="true" outlineLevel="0" collapsed="false">
      <c r="B16" s="16"/>
      <c r="C16" s="16"/>
      <c r="D16" s="16"/>
      <c r="E16" s="16"/>
      <c r="F16" s="16"/>
      <c r="G16" s="59"/>
      <c r="H16" s="59"/>
      <c r="I16" s="59"/>
      <c r="J16" s="59"/>
      <c r="K16" s="59"/>
    </row>
    <row r="17" customFormat="false" ht="15" hidden="false" customHeight="true" outlineLevel="0" collapsed="false">
      <c r="B17" s="20" t="s">
        <v>55</v>
      </c>
      <c r="C17" s="21" t="n">
        <v>8842</v>
      </c>
      <c r="D17" s="21" t="n">
        <v>11359</v>
      </c>
      <c r="E17" s="21" t="n">
        <v>17602</v>
      </c>
      <c r="F17" s="16"/>
      <c r="G17" s="66" t="n">
        <f aca="false">G18*'P&amp;L assumptions'!F9</f>
        <v>14597.0017520638</v>
      </c>
      <c r="H17" s="66" t="n">
        <f aca="false">H18*'P&amp;L assumptions'!G9</f>
        <v>15764.7618922289</v>
      </c>
      <c r="I17" s="66" t="n">
        <f aca="false">I18*'P&amp;L assumptions'!H9</f>
        <v>17025.9428436073</v>
      </c>
      <c r="J17" s="66" t="n">
        <f aca="false">J18*'P&amp;L assumptions'!I9</f>
        <v>18388.0182710958</v>
      </c>
      <c r="K17" s="66" t="n">
        <f aca="false">K18*'P&amp;L assumptions'!J9</f>
        <v>19859.0597327835</v>
      </c>
    </row>
    <row r="18" customFormat="false" ht="15" hidden="false" customHeight="true" outlineLevel="0" collapsed="false">
      <c r="B18" s="60" t="s">
        <v>107</v>
      </c>
      <c r="C18" s="67" t="n">
        <f aca="false">C17/'P&amp;L assumptions'!B9</f>
        <v>0.0498975750974871</v>
      </c>
      <c r="D18" s="67" t="n">
        <f aca="false">D17/'P&amp;L assumptions'!C9</f>
        <v>0.0602222481417468</v>
      </c>
      <c r="E18" s="67" t="n">
        <f aca="false">E17/'P&amp;L assumptions'!D9</f>
        <v>0.0844763541076759</v>
      </c>
      <c r="F18" s="16"/>
      <c r="G18" s="68" t="n">
        <f aca="false">AVERAGE($C$18:$E$18)</f>
        <v>0.0648653924489699</v>
      </c>
      <c r="H18" s="68" t="n">
        <f aca="false">AVERAGE($C$18:$E$18)</f>
        <v>0.0648653924489699</v>
      </c>
      <c r="I18" s="68" t="n">
        <f aca="false">AVERAGE($C$18:$E$18)</f>
        <v>0.0648653924489699</v>
      </c>
      <c r="J18" s="68" t="n">
        <f aca="false">AVERAGE($C$18:$E$18)</f>
        <v>0.0648653924489699</v>
      </c>
      <c r="K18" s="68" t="n">
        <f aca="false">AVERAGE($C$18:$E$18)</f>
        <v>0.0648653924489699</v>
      </c>
    </row>
    <row r="19" customFormat="false" ht="15" hidden="false" customHeight="true" outlineLevel="0" collapsed="false">
      <c r="B19" s="16"/>
      <c r="C19" s="16"/>
      <c r="D19" s="16"/>
      <c r="E19" s="16"/>
      <c r="F19" s="16"/>
      <c r="G19" s="59"/>
      <c r="H19" s="59"/>
      <c r="I19" s="59"/>
      <c r="J19" s="59"/>
      <c r="K19" s="59"/>
    </row>
    <row r="20" customFormat="false" ht="15" hidden="false" customHeight="true" outlineLevel="0" collapsed="false">
      <c r="B20" s="20" t="s">
        <v>54</v>
      </c>
      <c r="C20" s="21" t="n">
        <v>5969</v>
      </c>
      <c r="D20" s="21" t="n">
        <v>5800</v>
      </c>
      <c r="E20" s="21" t="n">
        <v>8474</v>
      </c>
      <c r="F20" s="16"/>
      <c r="G20" s="66" t="n">
        <f aca="false">G21*'P&amp;L assumptions'!F9</f>
        <v>7883.98620568764</v>
      </c>
      <c r="H20" s="66" t="n">
        <f aca="false">H21*'P&amp;L assumptions'!G9</f>
        <v>8514.70510214265</v>
      </c>
      <c r="I20" s="66" t="n">
        <f aca="false">I21*'P&amp;L assumptions'!H9</f>
        <v>9195.88151031406</v>
      </c>
      <c r="J20" s="66" t="n">
        <f aca="false">J21*'P&amp;L assumptions'!I9</f>
        <v>9931.55203113919</v>
      </c>
      <c r="K20" s="66" t="n">
        <f aca="false">K21*'P&amp;L assumptions'!J9</f>
        <v>10726.0761936303</v>
      </c>
    </row>
    <row r="21" customFormat="false" ht="15.75" hidden="false" customHeight="true" outlineLevel="0" collapsed="false">
      <c r="B21" s="60" t="s">
        <v>107</v>
      </c>
      <c r="C21" s="67" t="n">
        <f aca="false">C20/'P&amp;L assumptions'!B9</f>
        <v>0.0336845313002602</v>
      </c>
      <c r="D21" s="67" t="n">
        <f aca="false">D20/'P&amp;L assumptions'!C9</f>
        <v>0.0307499814439767</v>
      </c>
      <c r="E21" s="67" t="n">
        <f aca="false">E20/'P&amp;L assumptions'!D9</f>
        <v>0.0406688231285335</v>
      </c>
      <c r="F21" s="16"/>
      <c r="G21" s="69" t="n">
        <f aca="false">AVERAGE($C$21:$E$21)</f>
        <v>0.0350344452909234</v>
      </c>
      <c r="H21" s="69" t="n">
        <f aca="false">AVERAGE($C$21:$E$21)</f>
        <v>0.0350344452909234</v>
      </c>
      <c r="I21" s="69" t="n">
        <f aca="false">AVERAGE($C$21:$E$21)</f>
        <v>0.0350344452909234</v>
      </c>
      <c r="J21" s="69" t="n">
        <f aca="false">AVERAGE($C$21:$E$21)</f>
        <v>0.0350344452909234</v>
      </c>
      <c r="K21" s="69" t="n">
        <f aca="false">AVERAGE($C$21:$E$21)</f>
        <v>0.0350344452909234</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18.86"/>
    <col collapsed="false" customWidth="true" hidden="false" outlineLevel="0" max="6" min="3" style="1" width="8.71"/>
    <col collapsed="false" customWidth="true" hidden="false" outlineLevel="0" max="7" min="7" style="1" width="16.57"/>
    <col collapsed="false" customWidth="true" hidden="false" outlineLevel="0" max="26" min="8" style="1" width="8.71"/>
  </cols>
  <sheetData>
    <row r="1" customFormat="false" ht="15" hidden="false" customHeight="true" outlineLevel="0" collapsed="false">
      <c r="B1" s="30" t="s">
        <v>108</v>
      </c>
      <c r="C1" s="31"/>
      <c r="D1" s="31"/>
      <c r="E1" s="31"/>
      <c r="F1" s="31"/>
      <c r="G1" s="31"/>
      <c r="H1" s="31"/>
      <c r="I1" s="31"/>
      <c r="J1" s="31"/>
      <c r="K1" s="31"/>
      <c r="L1" s="31"/>
      <c r="M1" s="31"/>
    </row>
    <row r="2" customFormat="false" ht="15" hidden="false" customHeight="true" outlineLevel="0" collapsed="false">
      <c r="B2" s="31"/>
      <c r="C2" s="31"/>
      <c r="D2" s="31"/>
      <c r="E2" s="31"/>
      <c r="F2" s="31"/>
      <c r="G2" s="31"/>
      <c r="H2" s="31"/>
      <c r="I2" s="31"/>
      <c r="J2" s="31"/>
      <c r="K2" s="31"/>
      <c r="L2" s="31"/>
      <c r="M2" s="31"/>
    </row>
    <row r="3" customFormat="false" ht="21.75" hidden="false" customHeight="true" outlineLevel="0" collapsed="false">
      <c r="B3" s="46" t="s">
        <v>73</v>
      </c>
      <c r="C3" s="47" t="s">
        <v>95</v>
      </c>
      <c r="D3" s="47" t="s">
        <v>96</v>
      </c>
      <c r="E3" s="47" t="s">
        <v>97</v>
      </c>
      <c r="F3" s="31"/>
      <c r="G3" s="48" t="s">
        <v>98</v>
      </c>
      <c r="H3" s="48" t="s">
        <v>99</v>
      </c>
      <c r="I3" s="48" t="s">
        <v>100</v>
      </c>
      <c r="J3" s="48" t="s">
        <v>101</v>
      </c>
      <c r="K3" s="48" t="s">
        <v>102</v>
      </c>
      <c r="L3" s="31"/>
      <c r="M3" s="46" t="s">
        <v>109</v>
      </c>
    </row>
    <row r="4" customFormat="false" ht="15" hidden="false" customHeight="true" outlineLevel="0" collapsed="false">
      <c r="B4" s="35" t="s">
        <v>42</v>
      </c>
      <c r="C4" s="36" t="n">
        <f aca="false">'BS source'!D4</f>
        <v>5962</v>
      </c>
      <c r="D4" s="36" t="n">
        <f aca="false">'BS source'!E4</f>
        <v>5840</v>
      </c>
      <c r="E4" s="36" t="n">
        <f aca="false">'BS source'!F4</f>
        <v>5650</v>
      </c>
      <c r="F4" s="31"/>
      <c r="G4" s="70" t="n">
        <f aca="false">E4</f>
        <v>5650</v>
      </c>
      <c r="H4" s="70" t="n">
        <f aca="false">G4</f>
        <v>5650</v>
      </c>
      <c r="I4" s="70" t="n">
        <f aca="false">H4</f>
        <v>5650</v>
      </c>
      <c r="J4" s="70" t="n">
        <f aca="false">I4</f>
        <v>5650</v>
      </c>
      <c r="K4" s="70" t="n">
        <f aca="false">J4</f>
        <v>5650</v>
      </c>
      <c r="L4" s="31"/>
      <c r="M4" s="35" t="s">
        <v>110</v>
      </c>
    </row>
    <row r="5" customFormat="false" ht="15" hidden="false" customHeight="true" outlineLevel="0" collapsed="false">
      <c r="B5" s="71" t="s">
        <v>44</v>
      </c>
      <c r="C5" s="36" t="n">
        <f aca="false">SUMIF('BS assumptions'!$B:$B,BS!$B5,'BS assumptions'!C:C)</f>
        <v>45106</v>
      </c>
      <c r="D5" s="36" t="n">
        <f aca="false">SUMIF('BS assumptions'!$B:$B,BS!$B5,'BS assumptions'!D:D)</f>
        <v>49072</v>
      </c>
      <c r="E5" s="36" t="n">
        <f aca="false">SUMIF('BS assumptions'!$B:$B,BS!$B5,'BS assumptions'!E:E)</f>
        <v>56109</v>
      </c>
      <c r="F5" s="31"/>
      <c r="G5" s="36" t="n">
        <f aca="false">SUMIF('BS assumptions'!$B:$B,BS!$B5,'BS assumptions'!G:G)</f>
        <v>58808.5634821924</v>
      </c>
      <c r="H5" s="36" t="n">
        <f aca="false">SUMIF('BS assumptions'!$B:$B,BS!$B5,'BS assumptions'!H:H)</f>
        <v>63513.2485607677</v>
      </c>
      <c r="I5" s="36" t="n">
        <f aca="false">SUMIF('BS assumptions'!$B:$B,BS!$B5,'BS assumptions'!I:I)</f>
        <v>68594.3084456292</v>
      </c>
      <c r="J5" s="36" t="n">
        <f aca="false">SUMIF('BS assumptions'!$B:$B,BS!$B5,'BS assumptions'!J:J)</f>
        <v>74081.8531212795</v>
      </c>
      <c r="K5" s="36" t="n">
        <f aca="false">SUMIF('BS assumptions'!$B:$B,BS!$B5,'BS assumptions'!K:K)</f>
        <v>80008.4013709819</v>
      </c>
      <c r="L5" s="31"/>
      <c r="M5" s="31"/>
    </row>
    <row r="6" customFormat="false" ht="15" hidden="false" customHeight="true" outlineLevel="0" collapsed="false">
      <c r="B6" s="35" t="s">
        <v>46</v>
      </c>
      <c r="C6" s="36" t="n">
        <f aca="false">'BS source'!D6</f>
        <v>8824</v>
      </c>
      <c r="D6" s="36" t="n">
        <f aca="false">'BS source'!E6</f>
        <v>9831</v>
      </c>
      <c r="E6" s="36" t="n">
        <f aca="false">'BS source'!F6</f>
        <v>10323</v>
      </c>
      <c r="F6" s="31"/>
      <c r="G6" s="70" t="n">
        <f aca="false">E6</f>
        <v>10323</v>
      </c>
      <c r="H6" s="70" t="n">
        <f aca="false">G6</f>
        <v>10323</v>
      </c>
      <c r="I6" s="70" t="n">
        <f aca="false">H6</f>
        <v>10323</v>
      </c>
      <c r="J6" s="70" t="n">
        <f aca="false">I6</f>
        <v>10323</v>
      </c>
      <c r="K6" s="70" t="n">
        <f aca="false">J6</f>
        <v>10323</v>
      </c>
      <c r="L6" s="31"/>
      <c r="M6" s="35" t="s">
        <v>110</v>
      </c>
    </row>
    <row r="7" customFormat="false" ht="15" hidden="false" customHeight="true" outlineLevel="0" collapsed="false">
      <c r="B7" s="31"/>
      <c r="C7" s="31"/>
      <c r="D7" s="31"/>
      <c r="E7" s="31"/>
      <c r="F7" s="31"/>
      <c r="G7" s="52"/>
      <c r="H7" s="52"/>
      <c r="I7" s="52"/>
      <c r="J7" s="52"/>
      <c r="K7" s="52"/>
      <c r="L7" s="31"/>
      <c r="M7" s="31"/>
    </row>
    <row r="8" customFormat="false" ht="15" hidden="false" customHeight="true" outlineLevel="0" collapsed="false">
      <c r="B8" s="71" t="s">
        <v>51</v>
      </c>
      <c r="C8" s="36" t="n">
        <f aca="false">SUMIF('BS assumptions'!$B:$B,BS!$B8,'BS assumptions'!C:C)</f>
        <v>31167</v>
      </c>
      <c r="D8" s="36" t="n">
        <f aca="false">SUMIF('BS assumptions'!$B:$B,BS!$B8,'BS assumptions'!D:D)</f>
        <v>36397</v>
      </c>
      <c r="E8" s="36" t="n">
        <f aca="false">SUMIF('BS assumptions'!$B:$B,BS!$B8,'BS assumptions'!E:E)</f>
        <v>46212</v>
      </c>
      <c r="F8" s="31"/>
      <c r="G8" s="36" t="n">
        <f aca="false">SUMIF('BS assumptions'!$B:$B,BS!$B8,'BS assumptions'!G:G)</f>
        <v>51836.1326790374</v>
      </c>
      <c r="H8" s="36" t="n">
        <f aca="false">SUMIF('BS assumptions'!$B:$B,BS!$B8,'BS assumptions'!H:H)</f>
        <v>54946.4062517855</v>
      </c>
      <c r="I8" s="36" t="n">
        <f aca="false">SUMIF('BS assumptions'!$B:$B,BS!$B8,'BS assumptions'!I:I)</f>
        <v>58243.2610348965</v>
      </c>
      <c r="J8" s="36" t="n">
        <f aca="false">SUMIF('BS assumptions'!$B:$B,BS!$B8,'BS assumptions'!J:J)</f>
        <v>61737.844962323</v>
      </c>
      <c r="K8" s="36" t="n">
        <f aca="false">SUMIF('BS assumptions'!$B:$B,BS!$B8,'BS assumptions'!K:K)</f>
        <v>65442.1860680663</v>
      </c>
      <c r="L8" s="31"/>
      <c r="M8" s="31"/>
    </row>
    <row r="9" customFormat="false" ht="15" hidden="false" customHeight="true" outlineLevel="0" collapsed="false">
      <c r="B9" s="71" t="s">
        <v>103</v>
      </c>
      <c r="C9" s="36" t="n">
        <f aca="false">SUMIF('BS assumptions'!$B:$B,BS!$B9,'BS assumptions'!C:C)</f>
        <v>32884</v>
      </c>
      <c r="D9" s="36" t="n">
        <f aca="false">SUMIF('BS assumptions'!$B:$B,BS!$B9,'BS assumptions'!D:D)</f>
        <v>38556</v>
      </c>
      <c r="E9" s="36" t="n">
        <f aca="false">SUMIF('BS assumptions'!$B:$B,BS!$B9,'BS assumptions'!E:E)</f>
        <v>43582</v>
      </c>
      <c r="F9" s="31"/>
      <c r="G9" s="36" t="n">
        <f aca="false">SUMIF('BS assumptions'!$B:$B,BS!$B9,'BS assumptions'!G:G)</f>
        <v>46486.7400328767</v>
      </c>
      <c r="H9" s="36" t="n">
        <f aca="false">SUMIF('BS assumptions'!$B:$B,BS!$B9,'BS assumptions'!H:H)</f>
        <v>50205.6792355069</v>
      </c>
      <c r="I9" s="36" t="n">
        <f aca="false">SUMIF('BS assumptions'!$B:$B,BS!$B9,'BS assumptions'!I:I)</f>
        <v>54222.1335743474</v>
      </c>
      <c r="J9" s="36" t="n">
        <f aca="false">SUMIF('BS assumptions'!$B:$B,BS!$B9,'BS assumptions'!J:J)</f>
        <v>58559.9042602952</v>
      </c>
      <c r="K9" s="36" t="n">
        <f aca="false">SUMIF('BS assumptions'!$B:$B,BS!$B9,'BS assumptions'!K:K)</f>
        <v>63244.6966011188</v>
      </c>
      <c r="L9" s="31"/>
      <c r="M9" s="31"/>
    </row>
    <row r="10" customFormat="false" ht="15" hidden="false" customHeight="true" outlineLevel="0" collapsed="false">
      <c r="B10" s="71" t="s">
        <v>55</v>
      </c>
      <c r="C10" s="36" t="n">
        <f aca="false">SUMIF('BS assumptions'!$B:$B,BS!$B10,'BS assumptions'!C:C)</f>
        <v>8842</v>
      </c>
      <c r="D10" s="36" t="n">
        <f aca="false">SUMIF('BS assumptions'!$B:$B,BS!$B10,'BS assumptions'!D:D)</f>
        <v>11359</v>
      </c>
      <c r="E10" s="36" t="n">
        <f aca="false">SUMIF('BS assumptions'!$B:$B,BS!$B10,'BS assumptions'!E:E)</f>
        <v>17602</v>
      </c>
      <c r="F10" s="31"/>
      <c r="G10" s="36" t="n">
        <f aca="false">SUMIF('BS assumptions'!$B:$B,BS!$B10,'BS assumptions'!G:G)</f>
        <v>14597.0017520638</v>
      </c>
      <c r="H10" s="36" t="n">
        <f aca="false">SUMIF('BS assumptions'!$B:$B,BS!$B10,'BS assumptions'!H:H)</f>
        <v>15764.7618922289</v>
      </c>
      <c r="I10" s="36" t="n">
        <f aca="false">SUMIF('BS assumptions'!$B:$B,BS!$B10,'BS assumptions'!I:I)</f>
        <v>17025.9428436073</v>
      </c>
      <c r="J10" s="36" t="n">
        <f aca="false">SUMIF('BS assumptions'!$B:$B,BS!$B10,'BS assumptions'!J:J)</f>
        <v>18388.0182710958</v>
      </c>
      <c r="K10" s="36" t="n">
        <f aca="false">SUMIF('BS assumptions'!$B:$B,BS!$B10,'BS assumptions'!K:K)</f>
        <v>19859.0597327835</v>
      </c>
      <c r="L10" s="31"/>
      <c r="M10" s="31"/>
    </row>
    <row r="11" customFormat="false" ht="15" hidden="false" customHeight="true" outlineLevel="0" collapsed="false">
      <c r="B11" s="31"/>
      <c r="C11" s="31"/>
      <c r="D11" s="31"/>
      <c r="E11" s="31"/>
      <c r="F11" s="31"/>
      <c r="G11" s="52"/>
      <c r="H11" s="52"/>
      <c r="I11" s="52"/>
      <c r="J11" s="52"/>
      <c r="K11" s="52"/>
      <c r="L11" s="31"/>
      <c r="M11" s="31"/>
    </row>
    <row r="12" customFormat="false" ht="15" hidden="false" customHeight="true" outlineLevel="0" collapsed="false">
      <c r="B12" s="35" t="s">
        <v>58</v>
      </c>
      <c r="C12" s="36" t="n">
        <f aca="false">'BS source'!D14</f>
        <v>11791</v>
      </c>
      <c r="D12" s="36" t="n">
        <f aca="false">'BS source'!E14</f>
        <v>19409</v>
      </c>
      <c r="E12" s="36" t="n">
        <f aca="false">'BS source'!F14</f>
        <v>8174</v>
      </c>
      <c r="F12" s="31"/>
      <c r="G12" s="72" t="n">
        <f aca="false">'Cash flow'!G32</f>
        <v>17637.9988511897</v>
      </c>
      <c r="H12" s="72" t="n">
        <f aca="false">'Cash flow'!H32</f>
        <v>26311.6899769484</v>
      </c>
      <c r="I12" s="72" t="n">
        <f aca="false">'Cash flow'!I32</f>
        <v>39219.3025328489</v>
      </c>
      <c r="J12" s="72" t="n">
        <f aca="false">'Cash flow'!J32</f>
        <v>56911.0256905247</v>
      </c>
      <c r="K12" s="72" t="n">
        <f aca="false">'Cash flow'!K32</f>
        <v>79995.0183002381</v>
      </c>
      <c r="L12" s="31"/>
      <c r="M12" s="31"/>
    </row>
    <row r="13" customFormat="false" ht="15" hidden="false" customHeight="true" outlineLevel="0" collapsed="false">
      <c r="B13" s="73"/>
      <c r="C13" s="73"/>
      <c r="D13" s="73"/>
      <c r="E13" s="73"/>
      <c r="F13" s="31"/>
      <c r="G13" s="74"/>
      <c r="H13" s="74"/>
      <c r="I13" s="74"/>
      <c r="J13" s="74"/>
      <c r="K13" s="74"/>
      <c r="L13" s="31"/>
      <c r="M13" s="31"/>
    </row>
    <row r="14" customFormat="false" ht="15" hidden="false" customHeight="true" outlineLevel="0" collapsed="false">
      <c r="B14" s="46" t="s">
        <v>63</v>
      </c>
      <c r="C14" s="75" t="n">
        <v>144576</v>
      </c>
      <c r="D14" s="75" t="n">
        <v>170464</v>
      </c>
      <c r="E14" s="75" t="n">
        <v>187652</v>
      </c>
      <c r="F14" s="31"/>
      <c r="G14" s="76" t="n">
        <f aca="false">SUM(G4,G5,G6,G8,G9,G10,G12)</f>
        <v>205339.43679736</v>
      </c>
      <c r="H14" s="76" t="n">
        <f aca="false">SUM(H4,H5,H6,H8,H9,H10,H12)</f>
        <v>226714.785917237</v>
      </c>
      <c r="I14" s="76" t="n">
        <f aca="false">SUM(I4,I5,I6,I8,I9,I10,I12)</f>
        <v>253277.948431329</v>
      </c>
      <c r="J14" s="76" t="n">
        <f aca="false">SUM(J4,J5,J6,J8,J9,J10,J12)</f>
        <v>285651.646305518</v>
      </c>
      <c r="K14" s="76" t="n">
        <f aca="false">SUM(K4,K5,K6,K8,K9,K10,K12)</f>
        <v>324522.362073189</v>
      </c>
      <c r="L14" s="31"/>
      <c r="M14" s="31"/>
    </row>
    <row r="15" customFormat="false" ht="15" hidden="false" customHeight="true" outlineLevel="0" collapsed="false">
      <c r="B15" s="31"/>
      <c r="C15" s="31"/>
      <c r="D15" s="31"/>
      <c r="E15" s="31"/>
      <c r="F15" s="31"/>
      <c r="G15" s="52"/>
      <c r="H15" s="52"/>
      <c r="I15" s="52"/>
      <c r="J15" s="52"/>
      <c r="K15" s="52"/>
      <c r="L15" s="31"/>
      <c r="M15" s="31"/>
    </row>
    <row r="16" customFormat="false" ht="15" hidden="false" customHeight="true" outlineLevel="0" collapsed="false">
      <c r="B16" s="71" t="s">
        <v>52</v>
      </c>
      <c r="C16" s="36" t="n">
        <f aca="false">SUMIF('BS assumptions'!$B:$B,BS!$B16,'BS assumptions'!C:C)</f>
        <v>15891</v>
      </c>
      <c r="D16" s="36" t="n">
        <f aca="false">SUMIF('BS assumptions'!$B:$B,BS!$B16,'BS assumptions'!D:D)</f>
        <v>26352</v>
      </c>
      <c r="E16" s="36" t="n">
        <f aca="false">SUMIF('BS assumptions'!$B:$B,BS!$B16,'BS assumptions'!E:E)</f>
        <v>36190</v>
      </c>
      <c r="F16" s="31"/>
      <c r="G16" s="77" t="n">
        <f aca="false">SUMIF('BS assumptions'!$B:$B,BS!$B16,'BS assumptions'!G:G)</f>
        <v>40594.4265916723</v>
      </c>
      <c r="H16" s="52" t="n">
        <f aca="false">SUMIF('BS assumptions'!$B:$B,BS!$B16,'BS assumptions'!H:H)</f>
        <v>43030.1748950947</v>
      </c>
      <c r="I16" s="52" t="n">
        <f aca="false">SUMIF('BS assumptions'!$B:$B,BS!$B16,'BS assumptions'!I:I)</f>
        <v>45612.0405274151</v>
      </c>
      <c r="J16" s="52" t="n">
        <f aca="false">SUMIF('BS assumptions'!$B:$B,BS!$B16,'BS assumptions'!J:J)</f>
        <v>48348.7537692908</v>
      </c>
      <c r="K16" s="52" t="n">
        <f aca="false">SUMIF('BS assumptions'!$B:$B,BS!$B16,'BS assumptions'!K:K)</f>
        <v>51249.734134063</v>
      </c>
      <c r="L16" s="31"/>
      <c r="M16" s="31"/>
    </row>
    <row r="17" customFormat="false" ht="15" hidden="false" customHeight="true" outlineLevel="0" collapsed="false">
      <c r="B17" s="71" t="s">
        <v>54</v>
      </c>
      <c r="C17" s="36" t="n">
        <f aca="false">SUMIF('BS assumptions'!$B:$B,BS!$B17,'BS assumptions'!C:C)</f>
        <v>5969</v>
      </c>
      <c r="D17" s="36" t="n">
        <f aca="false">SUMIF('BS assumptions'!$B:$B,BS!$B17,'BS assumptions'!D:D)</f>
        <v>5800</v>
      </c>
      <c r="E17" s="36" t="n">
        <f aca="false">SUMIF('BS assumptions'!$B:$B,BS!$B17,'BS assumptions'!E:E)</f>
        <v>8474</v>
      </c>
      <c r="F17" s="31"/>
      <c r="G17" s="52" t="n">
        <f aca="false">SUMIF('BS assumptions'!$B:$B,BS!$B17,'BS assumptions'!G:G)</f>
        <v>7883.98620568764</v>
      </c>
      <c r="H17" s="52" t="n">
        <f aca="false">SUMIF('BS assumptions'!$B:$B,BS!$B17,'BS assumptions'!H:H)</f>
        <v>8514.70510214265</v>
      </c>
      <c r="I17" s="52" t="n">
        <f aca="false">SUMIF('BS assumptions'!$B:$B,BS!$B17,'BS assumptions'!I:I)</f>
        <v>9195.88151031406</v>
      </c>
      <c r="J17" s="52" t="n">
        <f aca="false">SUMIF('BS assumptions'!$B:$B,BS!$B17,'BS assumptions'!J:J)</f>
        <v>9931.55203113919</v>
      </c>
      <c r="K17" s="52" t="n">
        <f aca="false">SUMIF('BS assumptions'!$B:$B,BS!$B17,'BS assumptions'!K:K)</f>
        <v>10726.0761936303</v>
      </c>
      <c r="L17" s="31"/>
      <c r="M17" s="31"/>
    </row>
    <row r="18" customFormat="false" ht="15" hidden="false" customHeight="true" outlineLevel="0" collapsed="false">
      <c r="B18" s="31"/>
      <c r="C18" s="31"/>
      <c r="D18" s="31"/>
      <c r="E18" s="31"/>
      <c r="F18" s="31"/>
      <c r="G18" s="52"/>
      <c r="H18" s="52"/>
      <c r="I18" s="52"/>
      <c r="J18" s="52"/>
      <c r="K18" s="52"/>
      <c r="L18" s="31"/>
      <c r="M18" s="31"/>
    </row>
    <row r="19" customFormat="false" ht="15" hidden="false" customHeight="true" outlineLevel="0" collapsed="false">
      <c r="B19" s="35" t="s">
        <v>111</v>
      </c>
      <c r="C19" s="36" t="n">
        <f aca="false">'BS source'!J15+'BS source'!J16</f>
        <v>41293</v>
      </c>
      <c r="D19" s="36" t="n">
        <f aca="false">'BS source'!K15+'BS source'!K16</f>
        <v>50646</v>
      </c>
      <c r="E19" s="36" t="n">
        <f aca="false">'BS source'!L15+'BS source'!L16</f>
        <v>51120</v>
      </c>
      <c r="F19" s="31"/>
      <c r="G19" s="70" t="n">
        <f aca="false">E19</f>
        <v>51120</v>
      </c>
      <c r="H19" s="70" t="n">
        <f aca="false">G19</f>
        <v>51120</v>
      </c>
      <c r="I19" s="70" t="n">
        <f aca="false">H19</f>
        <v>51120</v>
      </c>
      <c r="J19" s="70" t="n">
        <f aca="false">I19</f>
        <v>51120</v>
      </c>
      <c r="K19" s="70" t="n">
        <f aca="false">J19</f>
        <v>51120</v>
      </c>
      <c r="L19" s="31"/>
      <c r="M19" s="35" t="s">
        <v>110</v>
      </c>
    </row>
    <row r="20" customFormat="false" ht="15" hidden="false" customHeight="true" outlineLevel="0" collapsed="false">
      <c r="B20" s="31"/>
      <c r="C20" s="31"/>
      <c r="D20" s="31"/>
      <c r="E20" s="31"/>
      <c r="F20" s="31"/>
      <c r="G20" s="52"/>
      <c r="H20" s="52"/>
      <c r="I20" s="52"/>
      <c r="J20" s="52"/>
      <c r="K20" s="52"/>
      <c r="L20" s="31"/>
      <c r="M20" s="31"/>
    </row>
    <row r="21" customFormat="false" ht="15.75" hidden="false" customHeight="true" outlineLevel="0" collapsed="false">
      <c r="B21" s="35" t="s">
        <v>112</v>
      </c>
      <c r="C21" s="36" t="n">
        <f aca="false">'BS source'!J8</f>
        <v>81422</v>
      </c>
      <c r="D21" s="36" t="n">
        <f aca="false">'BS source'!K8</f>
        <v>87667</v>
      </c>
      <c r="E21" s="36" t="n">
        <f aca="false">'BS source'!L8</f>
        <v>91868</v>
      </c>
      <c r="F21" s="31"/>
      <c r="G21" s="78" t="n">
        <f aca="false">E21+'P&amp;L'!F19</f>
        <v>105741.024</v>
      </c>
      <c r="H21" s="78" t="n">
        <f aca="false">G21+'P&amp;L'!G19</f>
        <v>124049.90592</v>
      </c>
      <c r="I21" s="78" t="n">
        <f aca="false">H21+'P&amp;L'!H19</f>
        <v>147350.0263936</v>
      </c>
      <c r="J21" s="78" t="n">
        <f aca="false">I21+'P&amp;L'!I19</f>
        <v>176251.340505088</v>
      </c>
      <c r="K21" s="78" t="n">
        <f aca="false">J21+'P&amp;L'!J19</f>
        <v>211426.551745495</v>
      </c>
      <c r="L21" s="31"/>
      <c r="M21" s="31"/>
    </row>
    <row r="22" customFormat="false" ht="15.75" hidden="false" customHeight="true" outlineLevel="0" collapsed="false">
      <c r="B22" s="73"/>
      <c r="C22" s="73"/>
      <c r="D22" s="73"/>
      <c r="E22" s="73"/>
      <c r="F22" s="73"/>
      <c r="G22" s="74"/>
      <c r="H22" s="74"/>
      <c r="I22" s="74"/>
      <c r="J22" s="74"/>
      <c r="K22" s="74"/>
      <c r="L22" s="31"/>
      <c r="M22" s="31"/>
    </row>
    <row r="23" customFormat="false" ht="15.75" hidden="false" customHeight="true" outlineLevel="0" collapsed="false">
      <c r="B23" s="46" t="s">
        <v>113</v>
      </c>
      <c r="C23" s="75" t="n">
        <v>144576</v>
      </c>
      <c r="D23" s="75" t="n">
        <v>170464</v>
      </c>
      <c r="E23" s="75" t="n">
        <v>187652</v>
      </c>
      <c r="F23" s="47" t="s">
        <v>93</v>
      </c>
      <c r="G23" s="76" t="n">
        <f aca="false">SUM(G16,G17,G19,G21)</f>
        <v>205339.43679736</v>
      </c>
      <c r="H23" s="76" t="n">
        <f aca="false">SUM(H16,H17,H19,H21)</f>
        <v>226714.785917237</v>
      </c>
      <c r="I23" s="76" t="n">
        <f aca="false">SUM(I16,I17,I19,I21)</f>
        <v>253277.948431329</v>
      </c>
      <c r="J23" s="76" t="n">
        <f aca="false">SUM(J16,J17,J19,J21)</f>
        <v>285651.646305518</v>
      </c>
      <c r="K23" s="76" t="n">
        <f aca="false">SUM(K16,K17,K19,K21)</f>
        <v>324522.362073189</v>
      </c>
      <c r="L23" s="31"/>
      <c r="M23" s="31"/>
    </row>
    <row r="24" customFormat="false" ht="15.75" hidden="false" customHeight="true" outlineLevel="0" collapsed="false">
      <c r="B24" s="31"/>
      <c r="C24" s="31"/>
      <c r="D24" s="31"/>
      <c r="E24" s="31"/>
      <c r="F24" s="31"/>
      <c r="G24" s="31"/>
      <c r="H24" s="31"/>
      <c r="I24" s="31"/>
      <c r="J24" s="31"/>
      <c r="K24" s="31"/>
      <c r="L24" s="31"/>
      <c r="M24" s="31"/>
    </row>
    <row r="25" customFormat="false" ht="15.75" hidden="false" customHeight="true" outlineLevel="0" collapsed="false">
      <c r="B25" s="35" t="s">
        <v>114</v>
      </c>
      <c r="C25" s="42" t="n">
        <v>0</v>
      </c>
      <c r="D25" s="42" t="s">
        <v>93</v>
      </c>
      <c r="E25" s="42" t="n">
        <v>0</v>
      </c>
      <c r="F25" s="31"/>
      <c r="G25" s="79" t="n">
        <f aca="false">G14-G23</f>
        <v>0</v>
      </c>
      <c r="H25" s="79" t="n">
        <f aca="false">H14-H23</f>
        <v>0</v>
      </c>
      <c r="I25" s="79" t="n">
        <f aca="false">I14-I23</f>
        <v>0</v>
      </c>
      <c r="J25" s="79" t="n">
        <f aca="false">J14-J23</f>
        <v>0</v>
      </c>
      <c r="K25" s="79" t="n">
        <f aca="false">K14-K23</f>
        <v>0</v>
      </c>
      <c r="L25" s="31"/>
      <c r="M25" s="31"/>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8.29"/>
    <col collapsed="false" customWidth="true" hidden="false" outlineLevel="0" max="26" min="2" style="1" width="8.71"/>
  </cols>
  <sheetData>
    <row r="1" customFormat="false" ht="15" hidden="false" customHeight="true" outlineLevel="0" collapsed="false">
      <c r="A1" s="30" t="s">
        <v>8</v>
      </c>
      <c r="B1" s="31"/>
      <c r="C1" s="31"/>
      <c r="D1" s="31"/>
      <c r="E1" s="31"/>
      <c r="F1" s="31"/>
      <c r="G1" s="31"/>
      <c r="H1" s="31"/>
      <c r="I1" s="31"/>
      <c r="J1" s="31"/>
    </row>
    <row r="2" customFormat="false" ht="15" hidden="false" customHeight="true" outlineLevel="0" collapsed="false">
      <c r="A2" s="31"/>
      <c r="B2" s="31"/>
      <c r="C2" s="31"/>
      <c r="D2" s="31"/>
      <c r="E2" s="31"/>
      <c r="F2" s="31"/>
      <c r="G2" s="31"/>
      <c r="H2" s="31"/>
      <c r="I2" s="31"/>
      <c r="J2" s="31"/>
    </row>
    <row r="3" customFormat="false" ht="21.75" hidden="false" customHeight="true" outlineLevel="0" collapsed="false">
      <c r="A3" s="46" t="s">
        <v>73</v>
      </c>
      <c r="B3" s="47" t="s">
        <v>74</v>
      </c>
      <c r="C3" s="47" t="s">
        <v>75</v>
      </c>
      <c r="D3" s="47" t="s">
        <v>76</v>
      </c>
      <c r="E3" s="31"/>
      <c r="F3" s="48" t="s">
        <v>77</v>
      </c>
      <c r="G3" s="48" t="s">
        <v>78</v>
      </c>
      <c r="H3" s="48" t="s">
        <v>79</v>
      </c>
      <c r="I3" s="48" t="s">
        <v>80</v>
      </c>
      <c r="J3" s="48" t="s">
        <v>81</v>
      </c>
    </row>
    <row r="4" customFormat="false" ht="15" hidden="false" customHeight="true" outlineLevel="0" collapsed="false">
      <c r="A4" s="35" t="s">
        <v>82</v>
      </c>
      <c r="B4" s="36" t="n">
        <f aca="false">SUMIF('P&amp;L assumptions'!$A:$A,'P&amp;L'!$A4,'P&amp;L assumptions'!B:B)</f>
        <v>177203</v>
      </c>
      <c r="C4" s="36" t="n">
        <f aca="false">SUMIF('P&amp;L assumptions'!$A:$A,'P&amp;L'!$A4,'P&amp;L assumptions'!C:C)</f>
        <v>188618</v>
      </c>
      <c r="D4" s="36" t="n">
        <f aca="false">SUMIF('P&amp;L assumptions'!$A:$A,'P&amp;L'!$A4,'P&amp;L assumptions'!D:D)</f>
        <v>208366</v>
      </c>
      <c r="E4" s="42" t="s">
        <v>93</v>
      </c>
      <c r="F4" s="36" t="n">
        <f aca="false">SUMIF('P&amp;L assumptions'!$A:$A,'P&amp;L'!$A4,'P&amp;L assumptions'!F:F)</f>
        <v>225035.28</v>
      </c>
      <c r="G4" s="36" t="n">
        <f aca="false">SUMIF('P&amp;L assumptions'!$A:$A,'P&amp;L'!$A4,'P&amp;L assumptions'!G:G)</f>
        <v>243038.1024</v>
      </c>
      <c r="H4" s="36" t="n">
        <f aca="false">SUMIF('P&amp;L assumptions'!$A:$A,'P&amp;L'!$A4,'P&amp;L assumptions'!H:H)</f>
        <v>262481.150592</v>
      </c>
      <c r="I4" s="36" t="n">
        <f aca="false">SUMIF('P&amp;L assumptions'!$A:$A,'P&amp;L'!$A4,'P&amp;L assumptions'!I:I)</f>
        <v>283479.64263936</v>
      </c>
      <c r="J4" s="36" t="n">
        <f aca="false">SUMIF('P&amp;L assumptions'!$A:$A,'P&amp;L'!$A4,'P&amp;L assumptions'!J:J)</f>
        <v>306158.014050509</v>
      </c>
    </row>
    <row r="5" customFormat="false" ht="15" hidden="false" customHeight="true" outlineLevel="0" collapsed="false">
      <c r="A5" s="37" t="s">
        <v>84</v>
      </c>
      <c r="B5" s="36" t="n">
        <f aca="false">SUMIF('P&amp;L assumptions'!$A:$A,'P&amp;L'!$A5,'P&amp;L assumptions'!B:B)</f>
        <v>3520</v>
      </c>
      <c r="C5" s="36" t="n">
        <f aca="false">SUMIF('P&amp;L assumptions'!$A:$A,'P&amp;L'!$A5,'P&amp;L assumptions'!C:C)</f>
        <v>2416</v>
      </c>
      <c r="D5" s="36" t="n">
        <f aca="false">SUMIF('P&amp;L assumptions'!$A:$A,'P&amp;L'!$A5,'P&amp;L assumptions'!D:D)</f>
        <v>2585</v>
      </c>
      <c r="E5" s="42" t="s">
        <v>93</v>
      </c>
      <c r="F5" s="36" t="n">
        <v>2585</v>
      </c>
      <c r="G5" s="36" t="n">
        <v>2585</v>
      </c>
      <c r="H5" s="36" t="n">
        <v>2585</v>
      </c>
      <c r="I5" s="36" t="n">
        <v>2585</v>
      </c>
      <c r="J5" s="36" t="n">
        <v>2585</v>
      </c>
    </row>
    <row r="6" customFormat="false" ht="15" hidden="false" customHeight="true" outlineLevel="0" collapsed="false">
      <c r="A6" s="80" t="s">
        <v>115</v>
      </c>
      <c r="B6" s="36" t="n">
        <f aca="false">B4+B5</f>
        <v>180723</v>
      </c>
      <c r="C6" s="36" t="n">
        <f aca="false">C4+C5</f>
        <v>191034</v>
      </c>
      <c r="D6" s="36" t="n">
        <f aca="false">D4+D5</f>
        <v>210951</v>
      </c>
      <c r="E6" s="36"/>
      <c r="F6" s="36" t="n">
        <f aca="false">F4+F5</f>
        <v>227620.28</v>
      </c>
      <c r="G6" s="36" t="n">
        <f aca="false">G4+G5</f>
        <v>245623.1024</v>
      </c>
      <c r="H6" s="36" t="n">
        <f aca="false">H4+H5</f>
        <v>265066.150592</v>
      </c>
      <c r="I6" s="36" t="n">
        <f aca="false">I4+I5</f>
        <v>286064.64263936</v>
      </c>
      <c r="J6" s="36" t="n">
        <f aca="false">J4+J5</f>
        <v>308743.014050509</v>
      </c>
    </row>
    <row r="7" customFormat="false" ht="15" hidden="false" customHeight="true" outlineLevel="0" collapsed="false">
      <c r="A7" s="37" t="s">
        <v>89</v>
      </c>
      <c r="B7" s="36" t="n">
        <f aca="false">SUMIF('P&amp;L assumptions'!$A:$A,'P&amp;L'!$A7,'P&amp;L assumptions'!B:B)</f>
        <v>-142394</v>
      </c>
      <c r="C7" s="36" t="n">
        <f aca="false">SUMIF('P&amp;L assumptions'!$A:$A,'P&amp;L'!$A7,'P&amp;L assumptions'!C:C)</f>
        <v>-150572</v>
      </c>
      <c r="D7" s="36" t="n">
        <f aca="false">SUMIF('P&amp;L assumptions'!$A:$A,'P&amp;L'!$A7,'P&amp;L assumptions'!D:D)</f>
        <v>-157523</v>
      </c>
      <c r="E7" s="42" t="s">
        <v>93</v>
      </c>
      <c r="F7" s="36" t="n">
        <f aca="false">SUMIF('P&amp;L assumptions'!$A:$A,'P&amp;L'!$A7,'P&amp;L assumptions'!F:F)</f>
        <v>-176694</v>
      </c>
      <c r="G7" s="36" t="n">
        <f aca="false">SUMIF('P&amp;L assumptions'!$A:$A,'P&amp;L'!$A7,'P&amp;L assumptions'!G:G)</f>
        <v>-187296</v>
      </c>
      <c r="H7" s="36" t="n">
        <f aca="false">SUMIF('P&amp;L assumptions'!$A:$A,'P&amp;L'!$A7,'P&amp;L assumptions'!H:H)</f>
        <v>-198534</v>
      </c>
      <c r="I7" s="36" t="n">
        <f aca="false">SUMIF('P&amp;L assumptions'!$A:$A,'P&amp;L'!$A7,'P&amp;L assumptions'!I:I)</f>
        <v>-210446</v>
      </c>
      <c r="J7" s="36" t="n">
        <f aca="false">SUMIF('P&amp;L assumptions'!$A:$A,'P&amp;L'!$A7,'P&amp;L assumptions'!J:J)</f>
        <v>-223073</v>
      </c>
    </row>
    <row r="8" customFormat="false" ht="15" hidden="false" customHeight="true" outlineLevel="0" collapsed="false">
      <c r="A8" s="80" t="s">
        <v>116</v>
      </c>
      <c r="B8" s="36" t="n">
        <f aca="false">B6+B7</f>
        <v>38329</v>
      </c>
      <c r="C8" s="36" t="n">
        <f aca="false">C6+C7</f>
        <v>40462</v>
      </c>
      <c r="D8" s="36" t="n">
        <f aca="false">D6+D7</f>
        <v>53428</v>
      </c>
      <c r="E8" s="36"/>
      <c r="F8" s="36" t="n">
        <f aca="false">F6+F7</f>
        <v>50926.28</v>
      </c>
      <c r="G8" s="36" t="n">
        <f aca="false">G6+G7</f>
        <v>58327.1024</v>
      </c>
      <c r="H8" s="36" t="n">
        <f aca="false">H6+H7</f>
        <v>66532.1505920001</v>
      </c>
      <c r="I8" s="36" t="n">
        <f aca="false">I6+I7</f>
        <v>75618.6426393601</v>
      </c>
      <c r="J8" s="36" t="n">
        <f aca="false">J6+J7</f>
        <v>85670.0140505089</v>
      </c>
    </row>
    <row r="9" customFormat="false" ht="15" hidden="false" customHeight="true" outlineLevel="0" collapsed="false">
      <c r="A9" s="37" t="s">
        <v>91</v>
      </c>
      <c r="B9" s="36" t="n">
        <f aca="false">SUMIF('P&amp;L assumptions'!$A:$A,'P&amp;L'!$A9,'P&amp;L assumptions'!B:B)</f>
        <v>-18011</v>
      </c>
      <c r="C9" s="36" t="n">
        <f aca="false">SUMIF('P&amp;L assumptions'!$A:$A,'P&amp;L'!$A9,'P&amp;L assumptions'!C:C)</f>
        <v>-19248</v>
      </c>
      <c r="D9" s="36" t="n">
        <f aca="false">SUMIF('P&amp;L assumptions'!$A:$A,'P&amp;L'!$A9,'P&amp;L assumptions'!D:D)</f>
        <v>-23867</v>
      </c>
      <c r="E9" s="42" t="s">
        <v>93</v>
      </c>
      <c r="F9" s="36" t="n">
        <f aca="false">SUMIF('P&amp;L assumptions'!$A:$A,'P&amp;L'!$A9,'P&amp;L assumptions'!F:F)</f>
        <v>-24295</v>
      </c>
      <c r="G9" s="36" t="n">
        <f aca="false">SUMIF('P&amp;L assumptions'!$A:$A,'P&amp;L'!$A9,'P&amp;L assumptions'!G:G)</f>
        <v>-25753</v>
      </c>
      <c r="H9" s="36" t="n">
        <f aca="false">SUMIF('P&amp;L assumptions'!$A:$A,'P&amp;L'!$A9,'P&amp;L assumptions'!H:H)</f>
        <v>-27298</v>
      </c>
      <c r="I9" s="36" t="n">
        <f aca="false">SUMIF('P&amp;L assumptions'!$A:$A,'P&amp;L'!$A9,'P&amp;L assumptions'!I:I)</f>
        <v>-28936</v>
      </c>
      <c r="J9" s="36" t="n">
        <f aca="false">SUMIF('P&amp;L assumptions'!$A:$A,'P&amp;L'!$A9,'P&amp;L assumptions'!J:J)</f>
        <v>-30672</v>
      </c>
    </row>
    <row r="10" customFormat="false" ht="15" hidden="false" customHeight="true" outlineLevel="0" collapsed="false">
      <c r="A10" s="80" t="s">
        <v>30</v>
      </c>
      <c r="B10" s="36" t="n">
        <f aca="false">B8+B9</f>
        <v>20318</v>
      </c>
      <c r="C10" s="36" t="n">
        <f aca="false">C8+C9</f>
        <v>21214</v>
      </c>
      <c r="D10" s="36" t="n">
        <f aca="false">D8+D9</f>
        <v>29561</v>
      </c>
      <c r="E10" s="36"/>
      <c r="F10" s="36" t="n">
        <f aca="false">F8+F9</f>
        <v>26631.28</v>
      </c>
      <c r="G10" s="36" t="n">
        <f aca="false">G8+G9</f>
        <v>32574.1024</v>
      </c>
      <c r="H10" s="36" t="n">
        <f aca="false">H8+H9</f>
        <v>39234.1505920001</v>
      </c>
      <c r="I10" s="36" t="n">
        <f aca="false">I8+I9</f>
        <v>46682.6426393601</v>
      </c>
      <c r="J10" s="36" t="n">
        <f aca="false">J8+J9</f>
        <v>54998.0140505089</v>
      </c>
    </row>
    <row r="11" customFormat="false" ht="15" hidden="false" customHeight="true" outlineLevel="0" collapsed="false">
      <c r="A11" s="37" t="s">
        <v>31</v>
      </c>
      <c r="B11" s="36" t="n">
        <f aca="false">SUMIF('P&amp;L assumptions'!$A:$A,'P&amp;L'!$A11,'P&amp;L assumptions'!B:B)</f>
        <v>-2908</v>
      </c>
      <c r="C11" s="36" t="n">
        <f aca="false">SUMIF('P&amp;L assumptions'!$A:$A,'P&amp;L'!$A11,'P&amp;L assumptions'!C:C)</f>
        <v>-4650</v>
      </c>
      <c r="D11" s="36" t="n">
        <f aca="false">SUMIF('P&amp;L assumptions'!$A:$A,'P&amp;L'!$A11,'P&amp;L assumptions'!D:D)</f>
        <v>-6431</v>
      </c>
      <c r="E11" s="42" t="s">
        <v>93</v>
      </c>
      <c r="F11" s="36" t="n">
        <f aca="false">SUMIF('P&amp;L assumptions'!$A:$A,'P&amp;L'!$A11,'P&amp;L assumptions'!F:F)</f>
        <v>-6626</v>
      </c>
      <c r="G11" s="36" t="n">
        <f aca="false">SUMIF('P&amp;L assumptions'!$A:$A,'P&amp;L'!$A11,'P&amp;L assumptions'!G:G)</f>
        <v>-7024</v>
      </c>
      <c r="H11" s="36" t="n">
        <f aca="false">SUMIF('P&amp;L assumptions'!$A:$A,'P&amp;L'!$A11,'P&amp;L assumptions'!H:H)</f>
        <v>-7445</v>
      </c>
      <c r="I11" s="36" t="n">
        <f aca="false">SUMIF('P&amp;L assumptions'!$A:$A,'P&amp;L'!$A11,'P&amp;L assumptions'!I:I)</f>
        <v>-7892</v>
      </c>
      <c r="J11" s="36" t="n">
        <f aca="false">SUMIF('P&amp;L assumptions'!$A:$A,'P&amp;L'!$A11,'P&amp;L assumptions'!J:J)</f>
        <v>-8365</v>
      </c>
    </row>
    <row r="12" customFormat="false" ht="15" hidden="false" customHeight="true" outlineLevel="0" collapsed="false">
      <c r="A12" s="80" t="s">
        <v>32</v>
      </c>
      <c r="B12" s="36" t="n">
        <f aca="false">B10+B11</f>
        <v>17410</v>
      </c>
      <c r="C12" s="36" t="n">
        <f aca="false">C10+C11</f>
        <v>16564</v>
      </c>
      <c r="D12" s="36" t="n">
        <f aca="false">D10+D11</f>
        <v>23130</v>
      </c>
      <c r="E12" s="36"/>
      <c r="F12" s="36" t="n">
        <f aca="false">F10+F11</f>
        <v>20005.28</v>
      </c>
      <c r="G12" s="36" t="n">
        <f aca="false">G10+G11</f>
        <v>25550.1024</v>
      </c>
      <c r="H12" s="36" t="n">
        <f aca="false">H10+H11</f>
        <v>31789.1505920001</v>
      </c>
      <c r="I12" s="36" t="n">
        <f aca="false">I10+I11</f>
        <v>38790.6426393601</v>
      </c>
      <c r="J12" s="36" t="n">
        <f aca="false">J10+J11</f>
        <v>46633.0140505089</v>
      </c>
    </row>
    <row r="13" customFormat="false" ht="15" hidden="false" customHeight="true" outlineLevel="0" collapsed="false">
      <c r="A13" s="35" t="s">
        <v>92</v>
      </c>
      <c r="B13" s="36" t="n">
        <f aca="false">SUMIF('P&amp;L assumptions'!$A:$A,'P&amp;L'!$A13,'P&amp;L assumptions'!B:B)</f>
        <v>-1266</v>
      </c>
      <c r="C13" s="36" t="n">
        <f aca="false">SUMIF('P&amp;L assumptions'!$A:$A,'P&amp;L'!$A13,'P&amp;L assumptions'!C:C)</f>
        <v>-2191</v>
      </c>
      <c r="D13" s="36" t="n">
        <f aca="false">SUMIF('P&amp;L assumptions'!$A:$A,'P&amp;L'!$A13,'P&amp;L assumptions'!D:D)</f>
        <v>-2664</v>
      </c>
      <c r="E13" s="42" t="s">
        <v>93</v>
      </c>
      <c r="F13" s="36" t="n">
        <f aca="false">SUMIF('P&amp;L assumptions'!$A:$A,'P&amp;L'!$A13,'P&amp;L assumptions'!F:F)</f>
        <v>-2664</v>
      </c>
      <c r="G13" s="36" t="n">
        <f aca="false">SUMIF('P&amp;L assumptions'!$A:$A,'P&amp;L'!$A13,'P&amp;L assumptions'!G:G)</f>
        <v>-2664</v>
      </c>
      <c r="H13" s="36" t="n">
        <f aca="false">SUMIF('P&amp;L assumptions'!$A:$A,'P&amp;L'!$A13,'P&amp;L assumptions'!H:H)</f>
        <v>-2664</v>
      </c>
      <c r="I13" s="36" t="n">
        <f aca="false">SUMIF('P&amp;L assumptions'!$A:$A,'P&amp;L'!$A13,'P&amp;L assumptions'!I:I)</f>
        <v>-2664</v>
      </c>
      <c r="J13" s="36" t="n">
        <f aca="false">SUMIF('P&amp;L assumptions'!$A:$A,'P&amp;L'!$A13,'P&amp;L assumptions'!J:J)</f>
        <v>-2664</v>
      </c>
    </row>
    <row r="14" customFormat="false" ht="15" hidden="false" customHeight="true" outlineLevel="0" collapsed="false">
      <c r="A14" s="37" t="s">
        <v>34</v>
      </c>
      <c r="B14" s="36" t="n">
        <f aca="false">SUMIF('P&amp;L assumptions'!$A:$A,'P&amp;L'!$A14,'P&amp;L assumptions'!B:B)</f>
        <v>-318</v>
      </c>
      <c r="C14" s="36" t="n">
        <f aca="false">SUMIF('P&amp;L assumptions'!$A:$A,'P&amp;L'!$A14,'P&amp;L assumptions'!C:C)</f>
        <v>-864</v>
      </c>
      <c r="D14" s="36" t="n">
        <f aca="false">SUMIF('P&amp;L assumptions'!$A:$A,'P&amp;L'!$A14,'P&amp;L assumptions'!D:D)</f>
        <v>-320</v>
      </c>
      <c r="E14" s="42" t="s">
        <v>93</v>
      </c>
      <c r="F14" s="36" t="n">
        <f aca="false">SUMIF('P&amp;L assumptions'!$A:$A,'P&amp;L'!$A14,'P&amp;L assumptions'!F:F)</f>
        <v>0</v>
      </c>
      <c r="G14" s="36" t="n">
        <f aca="false">SUMIF('P&amp;L assumptions'!$A:$A,'P&amp;L'!$A14,'P&amp;L assumptions'!G:G)</f>
        <v>0</v>
      </c>
      <c r="H14" s="36" t="n">
        <f aca="false">SUMIF('P&amp;L assumptions'!$A:$A,'P&amp;L'!$A14,'P&amp;L assumptions'!H:H)</f>
        <v>0</v>
      </c>
      <c r="I14" s="36" t="n">
        <f aca="false">SUMIF('P&amp;L assumptions'!$A:$A,'P&amp;L'!$A14,'P&amp;L assumptions'!I:I)</f>
        <v>0</v>
      </c>
      <c r="J14" s="36" t="n">
        <f aca="false">SUMIF('P&amp;L assumptions'!$A:$A,'P&amp;L'!$A14,'P&amp;L assumptions'!J:J)</f>
        <v>0</v>
      </c>
    </row>
    <row r="15" customFormat="false" ht="15" hidden="false" customHeight="true" outlineLevel="0" collapsed="false">
      <c r="A15" s="80" t="s">
        <v>35</v>
      </c>
      <c r="B15" s="36" t="n">
        <f aca="false">B12+B13+B14</f>
        <v>15826</v>
      </c>
      <c r="C15" s="36" t="n">
        <f aca="false">C12+C13+C14</f>
        <v>13509</v>
      </c>
      <c r="D15" s="36" t="n">
        <f aca="false">D12+D13+D14</f>
        <v>20146</v>
      </c>
      <c r="E15" s="36"/>
      <c r="F15" s="36" t="n">
        <f aca="false">F12+F13+F14</f>
        <v>17341.28</v>
      </c>
      <c r="G15" s="36" t="n">
        <f aca="false">G12+G13+G14</f>
        <v>22886.1024</v>
      </c>
      <c r="H15" s="36" t="n">
        <f aca="false">H12+H13+H14</f>
        <v>29125.1505920001</v>
      </c>
      <c r="I15" s="36" t="n">
        <f aca="false">I12+I13+I14</f>
        <v>36126.6426393601</v>
      </c>
      <c r="J15" s="36" t="n">
        <f aca="false">J12+J13+J14</f>
        <v>43969.0140505089</v>
      </c>
    </row>
    <row r="16" customFormat="false" ht="15" hidden="false" customHeight="true" outlineLevel="0" collapsed="false">
      <c r="A16" s="35" t="s">
        <v>117</v>
      </c>
      <c r="B16" s="53" t="n">
        <f aca="false">B17/B15</f>
        <v>-0.240490332364464</v>
      </c>
      <c r="C16" s="53" t="n">
        <f aca="false">C17/C15</f>
        <v>-0.225775408986602</v>
      </c>
      <c r="D16" s="53" t="n">
        <f aca="false">D17/D15</f>
        <v>-0.189367616400278</v>
      </c>
      <c r="E16" s="31"/>
      <c r="F16" s="51" t="n">
        <f aca="false">'P&amp;L assumptions'!F52</f>
        <v>-0.2</v>
      </c>
      <c r="G16" s="51" t="n">
        <f aca="false">'P&amp;L assumptions'!G52</f>
        <v>-0.2</v>
      </c>
      <c r="H16" s="51" t="n">
        <f aca="false">'P&amp;L assumptions'!H52</f>
        <v>-0.2</v>
      </c>
      <c r="I16" s="51" t="n">
        <f aca="false">'P&amp;L assumptions'!I52</f>
        <v>-0.2</v>
      </c>
      <c r="J16" s="51" t="n">
        <f aca="false">'P&amp;L assumptions'!J52</f>
        <v>-0.2</v>
      </c>
    </row>
    <row r="17" customFormat="false" ht="15" hidden="false" customHeight="true" outlineLevel="0" collapsed="false">
      <c r="A17" s="35" t="s">
        <v>36</v>
      </c>
      <c r="B17" s="36" t="n">
        <f aca="false">SUMIF('P&amp;L assumptions'!$A:$A,'P&amp;L'!$A17,'P&amp;L assumptions'!B:B)</f>
        <v>-3806</v>
      </c>
      <c r="C17" s="36" t="n">
        <f aca="false">SUMIF('P&amp;L assumptions'!$A:$A,'P&amp;L'!$A17,'P&amp;L assumptions'!C:C)</f>
        <v>-3050</v>
      </c>
      <c r="D17" s="36" t="n">
        <f aca="false">SUMIF('P&amp;L assumptions'!$A:$A,'P&amp;L'!$A17,'P&amp;L assumptions'!D:D)</f>
        <v>-3815</v>
      </c>
      <c r="E17" s="42" t="s">
        <v>93</v>
      </c>
      <c r="F17" s="36" t="n">
        <f aca="false">F16*F15</f>
        <v>-3468.25600000001</v>
      </c>
      <c r="G17" s="36" t="n">
        <f aca="false">G16*G15</f>
        <v>-4577.22048000001</v>
      </c>
      <c r="H17" s="36" t="n">
        <f aca="false">H16*H15</f>
        <v>-5825.03011840001</v>
      </c>
      <c r="I17" s="36" t="n">
        <f aca="false">I16*I15</f>
        <v>-7225.32852787202</v>
      </c>
      <c r="J17" s="36" t="n">
        <f aca="false">J16*J15</f>
        <v>-8793.80281010178</v>
      </c>
    </row>
    <row r="18" customFormat="false" ht="15" hidden="false" customHeight="true" outlineLevel="0" collapsed="false">
      <c r="A18" s="31"/>
      <c r="B18" s="31"/>
      <c r="C18" s="31"/>
      <c r="D18" s="31"/>
      <c r="E18" s="31"/>
      <c r="F18" s="52"/>
      <c r="G18" s="52"/>
      <c r="H18" s="52"/>
      <c r="I18" s="52"/>
      <c r="J18" s="52"/>
    </row>
    <row r="19" customFormat="false" ht="15" hidden="false" customHeight="true" outlineLevel="0" collapsed="false">
      <c r="A19" s="81" t="s">
        <v>118</v>
      </c>
      <c r="B19" s="82" t="n">
        <f aca="false">B17+B15</f>
        <v>12020</v>
      </c>
      <c r="C19" s="82" t="n">
        <f aca="false">C17+C15</f>
        <v>10459</v>
      </c>
      <c r="D19" s="82" t="n">
        <f aca="false">D17+D15</f>
        <v>16331</v>
      </c>
      <c r="E19" s="83" t="s">
        <v>93</v>
      </c>
      <c r="F19" s="82" t="n">
        <f aca="false">F17+F15</f>
        <v>13873.024</v>
      </c>
      <c r="G19" s="82" t="n">
        <f aca="false">G17+G15</f>
        <v>18308.88192</v>
      </c>
      <c r="H19" s="82" t="n">
        <f aca="false">H17+H15</f>
        <v>23300.1204736</v>
      </c>
      <c r="I19" s="82" t="n">
        <f aca="false">I17+I15</f>
        <v>28901.3141114881</v>
      </c>
      <c r="J19" s="82" t="n">
        <f aca="false">J17+J15</f>
        <v>35175.2112404071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8.71"/>
    <col collapsed="false" customWidth="true" hidden="false" outlineLevel="0" max="2" min="2" style="1" width="18.43"/>
    <col collapsed="false" customWidth="true" hidden="false" outlineLevel="0" max="26" min="3" style="1" width="8.71"/>
  </cols>
  <sheetData>
    <row r="1" customFormat="false" ht="15" hidden="false" customHeight="true" outlineLevel="0" collapsed="false">
      <c r="B1" s="15" t="s">
        <v>10</v>
      </c>
      <c r="D1" s="16"/>
      <c r="E1" s="16"/>
      <c r="F1" s="16"/>
      <c r="G1" s="16"/>
      <c r="H1" s="16"/>
      <c r="I1" s="16"/>
      <c r="J1" s="16"/>
      <c r="K1" s="16"/>
    </row>
    <row r="2" customFormat="false" ht="15" hidden="false" customHeight="true" outlineLevel="0" collapsed="false">
      <c r="B2" s="16"/>
      <c r="C2" s="16"/>
      <c r="D2" s="16"/>
      <c r="E2" s="16"/>
      <c r="F2" s="16"/>
      <c r="G2" s="16"/>
      <c r="H2" s="16"/>
      <c r="I2" s="16"/>
      <c r="J2" s="16"/>
      <c r="K2" s="16"/>
    </row>
    <row r="3" customFormat="false" ht="21.75" hidden="false" customHeight="true" outlineLevel="0" collapsed="false">
      <c r="B3" s="56" t="s">
        <v>73</v>
      </c>
      <c r="C3" s="84"/>
      <c r="D3" s="57" t="s">
        <v>75</v>
      </c>
      <c r="E3" s="57" t="s">
        <v>76</v>
      </c>
      <c r="F3" s="16"/>
      <c r="G3" s="58" t="s">
        <v>77</v>
      </c>
      <c r="H3" s="58" t="s">
        <v>78</v>
      </c>
      <c r="I3" s="58" t="s">
        <v>79</v>
      </c>
      <c r="J3" s="58" t="s">
        <v>80</v>
      </c>
      <c r="K3" s="58" t="s">
        <v>81</v>
      </c>
    </row>
    <row r="4" customFormat="false" ht="15" hidden="false" customHeight="true" outlineLevel="0" collapsed="false">
      <c r="B4" s="20" t="s">
        <v>32</v>
      </c>
      <c r="C4" s="16"/>
      <c r="D4" s="21" t="n">
        <v>16564</v>
      </c>
      <c r="E4" s="21" t="n">
        <v>23130</v>
      </c>
      <c r="F4" s="16"/>
      <c r="G4" s="85" t="n">
        <f aca="false">'P&amp;L'!F12</f>
        <v>20005.28</v>
      </c>
      <c r="H4" s="85" t="n">
        <f aca="false">'P&amp;L'!G12</f>
        <v>25550.1024</v>
      </c>
      <c r="I4" s="85" t="n">
        <f aca="false">'P&amp;L'!H12</f>
        <v>31789.1505920001</v>
      </c>
      <c r="J4" s="85" t="n">
        <f aca="false">'P&amp;L'!I12</f>
        <v>38790.6426393601</v>
      </c>
      <c r="K4" s="85" t="n">
        <f aca="false">'P&amp;L'!J12</f>
        <v>46633.0140505089</v>
      </c>
    </row>
    <row r="5" customFormat="false" ht="15" hidden="false" customHeight="true" outlineLevel="0" collapsed="false">
      <c r="B5" s="20" t="s">
        <v>119</v>
      </c>
      <c r="C5" s="16"/>
      <c r="D5" s="21" t="n">
        <v>-3740</v>
      </c>
      <c r="E5" s="21" t="n">
        <v>-4380</v>
      </c>
      <c r="F5" s="16"/>
      <c r="G5" s="86" t="n">
        <f aca="false">G4*G6</f>
        <v>-4001.05600000001</v>
      </c>
      <c r="H5" s="86" t="n">
        <f aca="false">H4*H6</f>
        <v>-5110.02048000001</v>
      </c>
      <c r="I5" s="86" t="n">
        <f aca="false">I4*I6</f>
        <v>-6357.83011840001</v>
      </c>
      <c r="J5" s="86" t="n">
        <f aca="false">J4*J6</f>
        <v>-7758.12852787202</v>
      </c>
      <c r="K5" s="86" t="n">
        <f aca="false">K4*K6</f>
        <v>-9326.60281010178</v>
      </c>
    </row>
    <row r="6" customFormat="false" ht="15" hidden="false" customHeight="true" outlineLevel="0" collapsed="false">
      <c r="B6" s="22" t="s">
        <v>120</v>
      </c>
      <c r="C6" s="18"/>
      <c r="D6" s="87" t="n">
        <v>-0.23</v>
      </c>
      <c r="E6" s="87" t="n">
        <v>-0.19</v>
      </c>
      <c r="F6" s="18"/>
      <c r="G6" s="88" t="n">
        <f aca="false">'P&amp;L'!F16</f>
        <v>-0.2</v>
      </c>
      <c r="H6" s="88" t="n">
        <f aca="false">'P&amp;L'!G16</f>
        <v>-0.2</v>
      </c>
      <c r="I6" s="88" t="n">
        <f aca="false">'P&amp;L'!H16</f>
        <v>-0.2</v>
      </c>
      <c r="J6" s="88" t="n">
        <f aca="false">'P&amp;L'!I16</f>
        <v>-0.2</v>
      </c>
      <c r="K6" s="88" t="n">
        <f aca="false">'P&amp;L'!J16</f>
        <v>-0.2</v>
      </c>
    </row>
    <row r="7" customFormat="false" ht="15" hidden="false" customHeight="true" outlineLevel="0" collapsed="false">
      <c r="B7" s="89" t="s">
        <v>121</v>
      </c>
      <c r="C7" s="16"/>
      <c r="D7" s="90" t="n">
        <v>12824</v>
      </c>
      <c r="E7" s="90" t="n">
        <v>18750</v>
      </c>
      <c r="F7" s="16"/>
      <c r="G7" s="91" t="n">
        <f aca="false">G4+G5</f>
        <v>16004.224</v>
      </c>
      <c r="H7" s="91" t="n">
        <f aca="false">H4+H5</f>
        <v>20440.08192</v>
      </c>
      <c r="I7" s="91" t="n">
        <f aca="false">I4+I5</f>
        <v>25431.3204736</v>
      </c>
      <c r="J7" s="91" t="n">
        <f aca="false">J4+J5</f>
        <v>31032.5141114881</v>
      </c>
      <c r="K7" s="91" t="n">
        <f aca="false">K4+K5</f>
        <v>37306.4112404071</v>
      </c>
    </row>
    <row r="8" customFormat="false" ht="15" hidden="false" customHeight="true" outlineLevel="0" collapsed="false">
      <c r="B8" s="16"/>
      <c r="C8" s="16"/>
      <c r="D8" s="16"/>
      <c r="E8" s="16"/>
      <c r="F8" s="16"/>
      <c r="G8" s="16"/>
      <c r="H8" s="16"/>
      <c r="I8" s="16"/>
      <c r="J8" s="16"/>
      <c r="K8" s="16"/>
    </row>
    <row r="9" customFormat="false" ht="15" hidden="false" customHeight="true" outlineLevel="0" collapsed="false">
      <c r="B9" s="22" t="s">
        <v>122</v>
      </c>
      <c r="C9" s="18"/>
      <c r="D9" s="23" t="n">
        <v>4650</v>
      </c>
      <c r="E9" s="23" t="n">
        <v>6431</v>
      </c>
      <c r="F9" s="18"/>
      <c r="G9" s="92" t="n">
        <f aca="false">-'P&amp;L'!F11</f>
        <v>6626</v>
      </c>
      <c r="H9" s="92" t="n">
        <f aca="false">-'P&amp;L'!G11</f>
        <v>7024</v>
      </c>
      <c r="I9" s="92" t="n">
        <f aca="false">-'P&amp;L'!H11</f>
        <v>7445</v>
      </c>
      <c r="J9" s="92" t="n">
        <f aca="false">-'P&amp;L'!I11</f>
        <v>7892</v>
      </c>
      <c r="K9" s="92" t="n">
        <f aca="false">-'P&amp;L'!J11</f>
        <v>8365</v>
      </c>
    </row>
    <row r="10" customFormat="false" ht="15" hidden="false" customHeight="true" outlineLevel="0" collapsed="false">
      <c r="B10" s="89" t="s">
        <v>123</v>
      </c>
      <c r="C10" s="16"/>
      <c r="D10" s="90" t="n">
        <v>17474</v>
      </c>
      <c r="E10" s="90" t="n">
        <v>25181</v>
      </c>
      <c r="F10" s="16"/>
      <c r="G10" s="91" t="n">
        <f aca="false">G7+G9</f>
        <v>22630.224</v>
      </c>
      <c r="H10" s="91" t="n">
        <f aca="false">H7+H9</f>
        <v>27464.08192</v>
      </c>
      <c r="I10" s="91" t="n">
        <f aca="false">I7+I9</f>
        <v>32876.3204736</v>
      </c>
      <c r="J10" s="91" t="n">
        <f aca="false">J7+J9</f>
        <v>38924.5141114881</v>
      </c>
      <c r="K10" s="91" t="n">
        <f aca="false">K7+K9</f>
        <v>45671.4112404071</v>
      </c>
    </row>
    <row r="11" customFormat="false" ht="15" hidden="false" customHeight="true" outlineLevel="0" collapsed="false">
      <c r="B11" s="16"/>
      <c r="C11" s="16"/>
      <c r="D11" s="16"/>
      <c r="E11" s="16"/>
      <c r="F11" s="16"/>
      <c r="G11" s="16"/>
      <c r="H11" s="16"/>
      <c r="I11" s="16"/>
      <c r="J11" s="16"/>
      <c r="K11" s="16"/>
    </row>
    <row r="12" customFormat="false" ht="15" hidden="false" customHeight="true" outlineLevel="0" collapsed="false">
      <c r="B12" s="20" t="s">
        <v>51</v>
      </c>
      <c r="C12" s="16"/>
      <c r="D12" s="21" t="n">
        <v>-5230</v>
      </c>
      <c r="E12" s="21" t="n">
        <v>-9815</v>
      </c>
      <c r="F12" s="16"/>
      <c r="G12" s="85" t="n">
        <f aca="false">-(BS!G8-BS!E8)</f>
        <v>-5624.13267903735</v>
      </c>
      <c r="H12" s="85" t="n">
        <f aca="false">-(BS!H8-BS!G8)</f>
        <v>-3110.27357274811</v>
      </c>
      <c r="I12" s="85" t="n">
        <f aca="false">-(BS!I8-BS!H8)</f>
        <v>-3296.85478311103</v>
      </c>
      <c r="J12" s="85" t="n">
        <f aca="false">-(BS!J8-BS!I8)</f>
        <v>-3494.58392742648</v>
      </c>
      <c r="K12" s="85" t="n">
        <f aca="false">-(BS!K8-BS!J8)</f>
        <v>-3704.34110574328</v>
      </c>
    </row>
    <row r="13" customFormat="false" ht="15" hidden="false" customHeight="true" outlineLevel="0" collapsed="false">
      <c r="B13" s="20" t="s">
        <v>53</v>
      </c>
      <c r="C13" s="16"/>
      <c r="D13" s="21" t="n">
        <v>-5672</v>
      </c>
      <c r="E13" s="21" t="n">
        <v>-5026</v>
      </c>
      <c r="F13" s="16"/>
      <c r="G13" s="85" t="n">
        <f aca="false">-(BS!G9-BS!E9)</f>
        <v>-2904.74003287673</v>
      </c>
      <c r="H13" s="85" t="n">
        <f aca="false">-(BS!H9-BS!G9)</f>
        <v>-3718.93920263014</v>
      </c>
      <c r="I13" s="85" t="n">
        <f aca="false">-(BS!I9-BS!H9)</f>
        <v>-4016.45433884055</v>
      </c>
      <c r="J13" s="85" t="n">
        <f aca="false">-(BS!J9-BS!I9)</f>
        <v>-4337.7706859478</v>
      </c>
      <c r="K13" s="85" t="n">
        <f aca="false">-(BS!K9-BS!J9)</f>
        <v>-4684.79234082362</v>
      </c>
    </row>
    <row r="14" customFormat="false" ht="15" hidden="false" customHeight="true" outlineLevel="0" collapsed="false">
      <c r="B14" s="22" t="s">
        <v>124</v>
      </c>
      <c r="C14" s="18"/>
      <c r="D14" s="23" t="n">
        <v>10460</v>
      </c>
      <c r="E14" s="23" t="n">
        <v>9838</v>
      </c>
      <c r="F14" s="18"/>
      <c r="G14" s="92" t="n">
        <f aca="false">BS!G16-BS!E16</f>
        <v>4404.42659167233</v>
      </c>
      <c r="H14" s="92" t="n">
        <f aca="false">BS!H16-BS!G16</f>
        <v>2435.74830342236</v>
      </c>
      <c r="I14" s="92" t="n">
        <f aca="false">BS!I16-BS!H16</f>
        <v>2581.86563232036</v>
      </c>
      <c r="J14" s="92" t="n">
        <f aca="false">BS!J16-BS!I16</f>
        <v>2736.71324187579</v>
      </c>
      <c r="K14" s="92" t="n">
        <f aca="false">BS!K16-BS!J16</f>
        <v>2900.98036477213</v>
      </c>
    </row>
    <row r="15" customFormat="false" ht="21.75" hidden="false" customHeight="true" outlineLevel="0" collapsed="false">
      <c r="B15" s="89" t="s">
        <v>125</v>
      </c>
      <c r="C15" s="16"/>
      <c r="D15" s="93" t="n">
        <v>-442</v>
      </c>
      <c r="E15" s="90" t="n">
        <v>-5003</v>
      </c>
      <c r="F15" s="16"/>
      <c r="G15" s="94" t="n">
        <f aca="false">G12+G13+G14</f>
        <v>-4124.44612024174</v>
      </c>
      <c r="H15" s="94" t="n">
        <f aca="false">H12+H13+H14</f>
        <v>-4393.46447195589</v>
      </c>
      <c r="I15" s="94" t="n">
        <f aca="false">I12+I13+I14</f>
        <v>-4731.44348963122</v>
      </c>
      <c r="J15" s="94" t="n">
        <f aca="false">J12+J13+J14</f>
        <v>-5095.64137149849</v>
      </c>
      <c r="K15" s="94" t="n">
        <f aca="false">K12+K13+K14</f>
        <v>-5488.15308179477</v>
      </c>
    </row>
    <row r="16" customFormat="false" ht="21.75" hidden="false" customHeight="true" outlineLevel="0" collapsed="false">
      <c r="B16" s="89" t="s">
        <v>126</v>
      </c>
      <c r="C16" s="16"/>
      <c r="D16" s="90" t="n">
        <v>-2686</v>
      </c>
      <c r="E16" s="90" t="n">
        <v>-3571</v>
      </c>
      <c r="F16" s="16"/>
      <c r="G16" s="85" t="n">
        <f aca="false">-(BS!G10-BS!E10)+(BS!G17-BS!E17)</f>
        <v>2414.98445362381</v>
      </c>
      <c r="H16" s="85" t="n">
        <f aca="false">-(BS!H10-BS!G10)+(BS!H17-BS!G17)</f>
        <v>-537.041243710097</v>
      </c>
      <c r="I16" s="85" t="n">
        <f aca="false">-(BS!I10-BS!H10)+(BS!I17-BS!H17)</f>
        <v>-580.004543206906</v>
      </c>
      <c r="J16" s="85" t="n">
        <f aca="false">-(BS!J10-BS!I10)+(BS!J17-BS!I17)</f>
        <v>-626.404906663453</v>
      </c>
      <c r="K16" s="85" t="n">
        <f aca="false">-(BS!K10-BS!J10)+(BS!K17-BS!J17)</f>
        <v>-676.517299196536</v>
      </c>
    </row>
    <row r="17" customFormat="false" ht="15" hidden="false" customHeight="true" outlineLevel="0" collapsed="false">
      <c r="B17" s="16"/>
      <c r="C17" s="16"/>
      <c r="D17" s="16"/>
      <c r="E17" s="16"/>
      <c r="F17" s="16"/>
      <c r="G17" s="16"/>
      <c r="H17" s="16"/>
      <c r="I17" s="16"/>
      <c r="J17" s="16"/>
      <c r="K17" s="16"/>
    </row>
    <row r="18" customFormat="false" ht="15" hidden="false" customHeight="true" outlineLevel="0" collapsed="false">
      <c r="B18" s="89" t="s">
        <v>127</v>
      </c>
      <c r="C18" s="16"/>
      <c r="D18" s="90" t="n">
        <v>-8616</v>
      </c>
      <c r="E18" s="90" t="n">
        <v>-13467</v>
      </c>
      <c r="F18" s="16"/>
      <c r="G18" s="85" t="n">
        <f aca="false">-(BS!G5-BS!E5)+'P&amp;L'!F11</f>
        <v>-9325.56348219235</v>
      </c>
      <c r="H18" s="85" t="n">
        <f aca="false">-(BS!H5-BS!G5)+'P&amp;L'!G11</f>
        <v>-11728.6850785754</v>
      </c>
      <c r="I18" s="85" t="n">
        <f aca="false">-(BS!I5-BS!H5)+'P&amp;L'!H11</f>
        <v>-12526.0598848614</v>
      </c>
      <c r="J18" s="85" t="n">
        <f aca="false">-(BS!J5-BS!I5)+'P&amp;L'!I11</f>
        <v>-13379.5446756503</v>
      </c>
      <c r="K18" s="85" t="n">
        <f aca="false">-(BS!K5-BS!J5)+'P&amp;L'!J11</f>
        <v>-14291.5482497024</v>
      </c>
    </row>
    <row r="19" customFormat="false" ht="15" hidden="false" customHeight="true" outlineLevel="0" collapsed="false">
      <c r="B19" s="89" t="s">
        <v>128</v>
      </c>
      <c r="C19" s="16"/>
      <c r="D19" s="93" t="n">
        <v>-885</v>
      </c>
      <c r="E19" s="93" t="n">
        <v>-302</v>
      </c>
      <c r="F19" s="16"/>
      <c r="G19" s="95" t="n">
        <f aca="false">-((BS!G4-BS!E4)+(BS!G6-BS!E6))</f>
        <v>-0</v>
      </c>
      <c r="H19" s="95" t="n">
        <f aca="false">-((BS!H4-BS!G4)+(BS!H6-BS!G6))</f>
        <v>-0</v>
      </c>
      <c r="I19" s="95" t="n">
        <f aca="false">-((BS!I4-BS!H4)+(BS!I6-BS!H6))</f>
        <v>-0</v>
      </c>
      <c r="J19" s="95" t="n">
        <f aca="false">-((BS!J4-BS!I4)+(BS!J6-BS!I6))</f>
        <v>-0</v>
      </c>
      <c r="K19" s="95" t="n">
        <f aca="false">-((BS!K4-BS!J4)+(BS!K6-BS!J6))</f>
        <v>-0</v>
      </c>
    </row>
    <row r="20" customFormat="false" ht="15" hidden="false" customHeight="true" outlineLevel="0" collapsed="false">
      <c r="B20" s="16"/>
      <c r="C20" s="16"/>
      <c r="D20" s="16"/>
      <c r="E20" s="16"/>
      <c r="F20" s="16"/>
      <c r="G20" s="16"/>
      <c r="H20" s="16"/>
      <c r="I20" s="16"/>
      <c r="J20" s="16"/>
      <c r="K20" s="16"/>
    </row>
    <row r="21" customFormat="false" ht="15.75" hidden="false" customHeight="true" outlineLevel="0" collapsed="false">
      <c r="B21" s="89" t="s">
        <v>129</v>
      </c>
      <c r="C21" s="16"/>
      <c r="D21" s="93" t="n">
        <v>-864</v>
      </c>
      <c r="E21" s="93" t="n">
        <v>-320</v>
      </c>
      <c r="F21" s="16"/>
      <c r="G21" s="85" t="n">
        <f aca="false">'P&amp;L'!F14</f>
        <v>0</v>
      </c>
      <c r="H21" s="85" t="n">
        <f aca="false">'P&amp;L'!G14</f>
        <v>0</v>
      </c>
      <c r="I21" s="85" t="n">
        <f aca="false">'P&amp;L'!H14</f>
        <v>0</v>
      </c>
      <c r="J21" s="85" t="n">
        <f aca="false">'P&amp;L'!I14</f>
        <v>0</v>
      </c>
      <c r="K21" s="85" t="n">
        <f aca="false">'P&amp;L'!J14</f>
        <v>0</v>
      </c>
    </row>
    <row r="22" customFormat="false" ht="15.75" hidden="false" customHeight="true" outlineLevel="0" collapsed="false">
      <c r="B22" s="16"/>
      <c r="C22" s="16"/>
      <c r="D22" s="16"/>
      <c r="E22" s="16"/>
      <c r="F22" s="16"/>
      <c r="G22" s="16"/>
      <c r="H22" s="16"/>
      <c r="I22" s="16"/>
      <c r="J22" s="16"/>
      <c r="K22" s="16"/>
    </row>
    <row r="23" customFormat="false" ht="15.75" hidden="false" customHeight="true" outlineLevel="0" collapsed="false">
      <c r="B23" s="96" t="s">
        <v>130</v>
      </c>
      <c r="C23" s="97"/>
      <c r="D23" s="98" t="n">
        <v>3981</v>
      </c>
      <c r="E23" s="98" t="n">
        <v>2518</v>
      </c>
      <c r="F23" s="97"/>
      <c r="G23" s="99" t="n">
        <f aca="false">G10+G15+G16+G18+G19+G21</f>
        <v>11595.1988511897</v>
      </c>
      <c r="H23" s="99" t="n">
        <f aca="false">H10+H15+H16+H18+H19+H21</f>
        <v>10804.8911257587</v>
      </c>
      <c r="I23" s="99" t="n">
        <f aca="false">I10+I15+I16+I18+I19+I21</f>
        <v>15038.8125559005</v>
      </c>
      <c r="J23" s="99" t="n">
        <f aca="false">J10+J15+J16+J18+J19+J21</f>
        <v>19822.9231576758</v>
      </c>
      <c r="K23" s="99" t="n">
        <f aca="false">K10+K15+K16+K18+K19+K21</f>
        <v>25215.1926097135</v>
      </c>
    </row>
    <row r="24" customFormat="false" ht="15.75" hidden="false" customHeight="true" outlineLevel="0" collapsed="false">
      <c r="B24" s="16"/>
      <c r="C24" s="16"/>
      <c r="D24" s="16"/>
      <c r="E24" s="16"/>
      <c r="F24" s="16"/>
      <c r="G24" s="16"/>
      <c r="H24" s="16"/>
      <c r="I24" s="16"/>
      <c r="J24" s="16"/>
      <c r="K24" s="16"/>
    </row>
    <row r="25" customFormat="false" ht="15.75" hidden="false" customHeight="true" outlineLevel="0" collapsed="false">
      <c r="B25" s="20" t="s">
        <v>131</v>
      </c>
      <c r="C25" s="16"/>
      <c r="D25" s="21" t="n">
        <v>-2191</v>
      </c>
      <c r="E25" s="21" t="n">
        <v>-2664</v>
      </c>
      <c r="F25" s="16"/>
      <c r="G25" s="100" t="n">
        <f aca="false">'P&amp;L'!F13</f>
        <v>-2664</v>
      </c>
      <c r="H25" s="85" t="n">
        <f aca="false">'P&amp;L'!G13</f>
        <v>-2664</v>
      </c>
      <c r="I25" s="85" t="n">
        <f aca="false">'P&amp;L'!H13</f>
        <v>-2664</v>
      </c>
      <c r="J25" s="85" t="n">
        <f aca="false">'P&amp;L'!I13</f>
        <v>-2664</v>
      </c>
      <c r="K25" s="85" t="n">
        <f aca="false">'P&amp;L'!J13</f>
        <v>-2664</v>
      </c>
    </row>
    <row r="26" customFormat="false" ht="15.75" hidden="false" customHeight="true" outlineLevel="0" collapsed="false">
      <c r="B26" s="20" t="s">
        <v>132</v>
      </c>
      <c r="C26" s="16"/>
      <c r="D26" s="26" t="n">
        <v>690</v>
      </c>
      <c r="E26" s="26" t="n">
        <v>565</v>
      </c>
      <c r="F26" s="16"/>
      <c r="G26" s="101" t="n">
        <f aca="false">'P&amp;L'!F17-G5</f>
        <v>532.8</v>
      </c>
      <c r="H26" s="95" t="n">
        <f aca="false">'P&amp;L'!G17-H5</f>
        <v>532.8</v>
      </c>
      <c r="I26" s="95" t="n">
        <f aca="false">'P&amp;L'!H17-I5</f>
        <v>532.8</v>
      </c>
      <c r="J26" s="95" t="n">
        <f aca="false">'P&amp;L'!I17-J5</f>
        <v>532.8</v>
      </c>
      <c r="K26" s="95" t="n">
        <f aca="false">'P&amp;L'!J17-K5</f>
        <v>532.799999999999</v>
      </c>
    </row>
    <row r="27" customFormat="false" ht="15.75" hidden="false" customHeight="true" outlineLevel="0" collapsed="false">
      <c r="B27" s="20" t="s">
        <v>133</v>
      </c>
      <c r="C27" s="16"/>
      <c r="D27" s="21" t="n">
        <v>9352</v>
      </c>
      <c r="E27" s="26" t="n">
        <v>475</v>
      </c>
      <c r="F27" s="16"/>
      <c r="G27" s="100" t="n">
        <f aca="false">BS!G19-BS!E19</f>
        <v>0</v>
      </c>
      <c r="H27" s="85" t="n">
        <f aca="false">BS!H19-BS!G19</f>
        <v>0</v>
      </c>
      <c r="I27" s="85" t="n">
        <f aca="false">BS!I19-BS!H19</f>
        <v>0</v>
      </c>
      <c r="J27" s="85" t="n">
        <f aca="false">BS!J19-BS!I19</f>
        <v>0</v>
      </c>
      <c r="K27" s="85" t="n">
        <f aca="false">BS!K19-BS!J19</f>
        <v>0</v>
      </c>
    </row>
    <row r="28" customFormat="false" ht="15.75" hidden="false" customHeight="true" outlineLevel="0" collapsed="false">
      <c r="B28" s="20" t="s">
        <v>134</v>
      </c>
      <c r="C28" s="16"/>
      <c r="D28" s="21" t="n">
        <v>-4214</v>
      </c>
      <c r="E28" s="21" t="n">
        <v>-12130</v>
      </c>
      <c r="F28" s="16"/>
      <c r="G28" s="100" t="n">
        <f aca="false">(BS!G21-BS!E21)-'P&amp;L'!F19</f>
        <v>0</v>
      </c>
      <c r="H28" s="85" t="n">
        <f aca="false">(BS!H21-BS!G21)-'P&amp;L'!G19</f>
        <v>0</v>
      </c>
      <c r="I28" s="85" t="n">
        <f aca="false">(BS!I21-BS!H21)-'P&amp;L'!H19</f>
        <v>0</v>
      </c>
      <c r="J28" s="85" t="n">
        <f aca="false">(BS!J21-BS!I21)-'P&amp;L'!I19</f>
        <v>0</v>
      </c>
      <c r="K28" s="85" t="n">
        <f aca="false">(BS!K21-BS!J21)-'P&amp;L'!J19</f>
        <v>0</v>
      </c>
    </row>
    <row r="29" customFormat="false" ht="15.75" hidden="false" customHeight="true" outlineLevel="0" collapsed="false">
      <c r="B29" s="96" t="s">
        <v>135</v>
      </c>
      <c r="C29" s="97"/>
      <c r="D29" s="98" t="n">
        <v>7618</v>
      </c>
      <c r="E29" s="98" t="n">
        <v>-11235</v>
      </c>
      <c r="F29" s="97"/>
      <c r="G29" s="99" t="n">
        <f aca="false">G23+G25+G26+G27+G28</f>
        <v>9463.99885118973</v>
      </c>
      <c r="H29" s="99" t="n">
        <f aca="false">H23+H25+H26+H27+H28</f>
        <v>8673.69112575865</v>
      </c>
      <c r="I29" s="99" t="n">
        <f aca="false">I23+I25+I26+I27+I28</f>
        <v>12907.6125559005</v>
      </c>
      <c r="J29" s="99" t="n">
        <f aca="false">J23+J25+J26+J27+J28</f>
        <v>17691.7231576758</v>
      </c>
      <c r="K29" s="99" t="n">
        <f aca="false">K23+K25+K26+K27+K28</f>
        <v>23083.9926097135</v>
      </c>
    </row>
    <row r="30" customFormat="false" ht="15.75" hidden="false" customHeight="true" outlineLevel="0" collapsed="false">
      <c r="B30" s="16"/>
      <c r="C30" s="16"/>
      <c r="D30" s="16"/>
      <c r="E30" s="16"/>
      <c r="F30" s="16"/>
      <c r="G30" s="16"/>
      <c r="H30" s="16"/>
      <c r="I30" s="16"/>
      <c r="J30" s="16"/>
      <c r="K30" s="16"/>
    </row>
    <row r="31" customFormat="false" ht="15.75" hidden="false" customHeight="true" outlineLevel="0" collapsed="false">
      <c r="B31" s="102" t="s">
        <v>136</v>
      </c>
      <c r="C31" s="16"/>
      <c r="D31" s="103" t="n">
        <v>11791</v>
      </c>
      <c r="E31" s="103" t="n">
        <v>19409</v>
      </c>
      <c r="F31" s="16"/>
      <c r="G31" s="104" t="n">
        <f aca="false">E32</f>
        <v>8174</v>
      </c>
      <c r="H31" s="86" t="n">
        <f aca="false">G32</f>
        <v>17637.9988511897</v>
      </c>
      <c r="I31" s="86" t="n">
        <f aca="false">H32</f>
        <v>26311.6899769484</v>
      </c>
      <c r="J31" s="86" t="n">
        <f aca="false">I32</f>
        <v>39219.3025328489</v>
      </c>
      <c r="K31" s="86" t="n">
        <f aca="false">J32</f>
        <v>56911.0256905247</v>
      </c>
    </row>
    <row r="32" customFormat="false" ht="15.75" hidden="false" customHeight="true" outlineLevel="0" collapsed="false">
      <c r="B32" s="102" t="s">
        <v>137</v>
      </c>
      <c r="C32" s="16"/>
      <c r="D32" s="103" t="n">
        <v>19409</v>
      </c>
      <c r="E32" s="103" t="n">
        <v>8174</v>
      </c>
      <c r="F32" s="16"/>
      <c r="G32" s="104" t="n">
        <f aca="false">G31+G29</f>
        <v>17637.9988511897</v>
      </c>
      <c r="H32" s="104" t="n">
        <f aca="false">H31+H29</f>
        <v>26311.6899769484</v>
      </c>
      <c r="I32" s="104" t="n">
        <f aca="false">I31+I29</f>
        <v>39219.3025328489</v>
      </c>
      <c r="J32" s="104" t="n">
        <f aca="false">J31+J29</f>
        <v>56911.0256905247</v>
      </c>
      <c r="K32" s="104" t="n">
        <f aca="false">K31+K29</f>
        <v>79995.0183002381</v>
      </c>
    </row>
    <row r="33" customFormat="false" ht="15.75" hidden="false" customHeight="true" outlineLevel="0" collapsed="false">
      <c r="B33" s="16"/>
      <c r="C33" s="16"/>
      <c r="D33" s="16"/>
      <c r="E33" s="16"/>
      <c r="F33" s="16"/>
      <c r="G33" s="16"/>
      <c r="H33" s="16"/>
      <c r="I33" s="16"/>
      <c r="J33" s="16"/>
      <c r="K33" s="16"/>
    </row>
    <row r="34" customFormat="false" ht="15.75" hidden="false" customHeight="true" outlineLevel="0" collapsed="false">
      <c r="B34" s="102" t="s">
        <v>114</v>
      </c>
      <c r="C34" s="16"/>
      <c r="D34" s="105" t="n">
        <v>0</v>
      </c>
      <c r="E34" s="105" t="n">
        <v>0</v>
      </c>
      <c r="F34" s="16"/>
      <c r="G34" s="106" t="n">
        <f aca="false">G32-BS!G12</f>
        <v>0</v>
      </c>
      <c r="H34" s="106" t="n">
        <f aca="false">H32-BS!H12</f>
        <v>0</v>
      </c>
      <c r="I34" s="106" t="n">
        <f aca="false">I32-BS!I12</f>
        <v>0</v>
      </c>
      <c r="J34" s="106" t="n">
        <f aca="false">J32-BS!J12</f>
        <v>0</v>
      </c>
      <c r="K34" s="106" t="n">
        <f aca="false">K32-BS!K12</f>
        <v>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8.14"/>
    <col collapsed="false" customWidth="true" hidden="false" outlineLevel="0" max="26" min="2" style="1" width="8.71"/>
  </cols>
  <sheetData>
    <row r="1" customFormat="false" ht="15" hidden="false" customHeight="true" outlineLevel="0" collapsed="false">
      <c r="A1" s="15" t="s">
        <v>0</v>
      </c>
      <c r="B1" s="16"/>
      <c r="C1" s="16"/>
      <c r="D1" s="16"/>
      <c r="E1" s="16"/>
      <c r="F1" s="16"/>
      <c r="G1" s="16"/>
      <c r="H1" s="16"/>
      <c r="I1" s="16"/>
      <c r="J1" s="16"/>
    </row>
    <row r="2" customFormat="false" ht="15" hidden="false" customHeight="true" outlineLevel="0" collapsed="false">
      <c r="A2" s="16"/>
      <c r="B2" s="16"/>
      <c r="C2" s="16"/>
      <c r="D2" s="16"/>
      <c r="E2" s="16"/>
      <c r="F2" s="16"/>
      <c r="G2" s="16"/>
      <c r="H2" s="16"/>
      <c r="I2" s="16"/>
      <c r="J2" s="16"/>
    </row>
    <row r="3" customFormat="false" ht="15" hidden="false" customHeight="true" outlineLevel="0" collapsed="false">
      <c r="A3" s="16"/>
      <c r="B3" s="16"/>
      <c r="C3" s="16"/>
      <c r="D3" s="16"/>
      <c r="E3" s="16"/>
      <c r="F3" s="16"/>
      <c r="G3" s="16"/>
      <c r="H3" s="16"/>
      <c r="I3" s="16"/>
      <c r="J3" s="16"/>
    </row>
    <row r="4" customFormat="false" ht="15" hidden="false" customHeight="true" outlineLevel="0" collapsed="false">
      <c r="A4" s="20" t="s">
        <v>138</v>
      </c>
      <c r="B4" s="107" t="n">
        <v>0.1</v>
      </c>
      <c r="C4" s="16"/>
      <c r="D4" s="16"/>
      <c r="E4" s="16"/>
      <c r="F4" s="16"/>
      <c r="G4" s="16"/>
      <c r="H4" s="16"/>
      <c r="I4" s="16"/>
      <c r="J4" s="16"/>
    </row>
    <row r="5" customFormat="false" ht="15" hidden="false" customHeight="true" outlineLevel="0" collapsed="false">
      <c r="A5" s="20" t="s">
        <v>139</v>
      </c>
      <c r="B5" s="107" t="n">
        <v>0.02</v>
      </c>
      <c r="C5" s="16"/>
      <c r="D5" s="16"/>
      <c r="E5" s="16"/>
      <c r="F5" s="16"/>
      <c r="G5" s="16"/>
      <c r="H5" s="16"/>
      <c r="I5" s="16"/>
      <c r="J5" s="16"/>
    </row>
    <row r="6" customFormat="false" ht="15" hidden="false" customHeight="true" outlineLevel="0" collapsed="false">
      <c r="A6" s="16"/>
      <c r="B6" s="16"/>
      <c r="C6" s="16"/>
      <c r="D6" s="16"/>
      <c r="E6" s="16"/>
      <c r="F6" s="26" t="n">
        <v>1</v>
      </c>
      <c r="G6" s="26" t="n">
        <v>2</v>
      </c>
      <c r="H6" s="26" t="n">
        <v>3</v>
      </c>
      <c r="I6" s="26" t="n">
        <v>4</v>
      </c>
      <c r="J6" s="26" t="n">
        <v>5</v>
      </c>
    </row>
    <row r="7" customFormat="false" ht="21.75" hidden="false" customHeight="true" outlineLevel="0" collapsed="false">
      <c r="A7" s="56" t="s">
        <v>73</v>
      </c>
      <c r="B7" s="57" t="s">
        <v>74</v>
      </c>
      <c r="C7" s="57" t="s">
        <v>75</v>
      </c>
      <c r="D7" s="57" t="s">
        <v>76</v>
      </c>
      <c r="E7" s="16"/>
      <c r="F7" s="58" t="s">
        <v>77</v>
      </c>
      <c r="G7" s="58" t="s">
        <v>78</v>
      </c>
      <c r="H7" s="58" t="s">
        <v>79</v>
      </c>
      <c r="I7" s="58" t="s">
        <v>80</v>
      </c>
      <c r="J7" s="58" t="s">
        <v>81</v>
      </c>
    </row>
    <row r="8" customFormat="false" ht="15" hidden="false" customHeight="true" outlineLevel="0" collapsed="false">
      <c r="A8" s="20" t="s">
        <v>130</v>
      </c>
      <c r="B8" s="16"/>
      <c r="C8" s="21" t="n">
        <v>3981</v>
      </c>
      <c r="D8" s="21" t="n">
        <v>2518</v>
      </c>
      <c r="E8" s="16"/>
      <c r="F8" s="108" t="n">
        <f aca="false">'Cash flow'!G23</f>
        <v>11595.1988511897</v>
      </c>
      <c r="G8" s="108" t="n">
        <f aca="false">'Cash flow'!H23</f>
        <v>10804.8911257587</v>
      </c>
      <c r="H8" s="108" t="n">
        <f aca="false">'Cash flow'!I23</f>
        <v>15038.8125559005</v>
      </c>
      <c r="I8" s="108" t="n">
        <f aca="false">'Cash flow'!J23</f>
        <v>19822.9231576758</v>
      </c>
      <c r="J8" s="108" t="n">
        <f aca="false">'Cash flow'!K23</f>
        <v>25215.1926097135</v>
      </c>
    </row>
    <row r="9" customFormat="false" ht="15" hidden="false" customHeight="true" outlineLevel="0" collapsed="false">
      <c r="A9" s="16"/>
      <c r="B9" s="16"/>
      <c r="C9" s="16"/>
      <c r="D9" s="16"/>
      <c r="E9" s="16"/>
      <c r="F9" s="59"/>
      <c r="G9" s="59"/>
      <c r="H9" s="59"/>
      <c r="I9" s="59"/>
      <c r="J9" s="59"/>
    </row>
    <row r="10" customFormat="false" ht="15" hidden="false" customHeight="true" outlineLevel="0" collapsed="false">
      <c r="A10" s="22" t="s">
        <v>140</v>
      </c>
      <c r="B10" s="18"/>
      <c r="C10" s="18"/>
      <c r="D10" s="18"/>
      <c r="E10" s="18"/>
      <c r="F10" s="109" t="n">
        <f aca="false">1/(1+$B$4)^F6</f>
        <v>0.909090909090909</v>
      </c>
      <c r="G10" s="109" t="n">
        <f aca="false">1/(1+$B$4)^G6</f>
        <v>0.826446280991735</v>
      </c>
      <c r="H10" s="109" t="n">
        <f aca="false">1/(1+$B$4)^H6</f>
        <v>0.751314800901578</v>
      </c>
      <c r="I10" s="109" t="n">
        <f aca="false">1/(1+$B$4)^I6</f>
        <v>0.683013455365071</v>
      </c>
      <c r="J10" s="109" t="n">
        <f aca="false">1/(1+$B$4)^J6</f>
        <v>0.620921323059155</v>
      </c>
    </row>
    <row r="11" customFormat="false" ht="21.75" hidden="false" customHeight="true" outlineLevel="0" collapsed="false">
      <c r="A11" s="89" t="s">
        <v>141</v>
      </c>
      <c r="B11" s="16"/>
      <c r="C11" s="16"/>
      <c r="D11" s="16"/>
      <c r="E11" s="16"/>
      <c r="F11" s="110" t="n">
        <f aca="false">F8*F10</f>
        <v>10541.0898647179</v>
      </c>
      <c r="G11" s="110" t="n">
        <f aca="false">G8*G10</f>
        <v>8929.66208740384</v>
      </c>
      <c r="H11" s="110" t="n">
        <f aca="false">H8*H10</f>
        <v>11298.8824612325</v>
      </c>
      <c r="I11" s="110" t="n">
        <f aca="false">I8*I10</f>
        <v>13539.3232413604</v>
      </c>
      <c r="J11" s="110" t="n">
        <f aca="false">J8*J10</f>
        <v>15656.6507564147</v>
      </c>
    </row>
    <row r="12" customFormat="false" ht="15" hidden="false" customHeight="true" outlineLevel="0" collapsed="false">
      <c r="A12" s="16"/>
      <c r="B12" s="16"/>
      <c r="C12" s="16"/>
      <c r="D12" s="16"/>
      <c r="E12" s="16"/>
      <c r="F12" s="16"/>
      <c r="G12" s="16"/>
      <c r="H12" s="16"/>
      <c r="I12" s="16"/>
      <c r="J12" s="16"/>
    </row>
    <row r="13" customFormat="false" ht="15" hidden="false" customHeight="true" outlineLevel="0" collapsed="false">
      <c r="A13" s="16"/>
      <c r="B13" s="16"/>
      <c r="C13" s="16"/>
      <c r="D13" s="16"/>
      <c r="E13" s="16"/>
      <c r="F13" s="16"/>
      <c r="G13" s="16"/>
      <c r="H13" s="16"/>
      <c r="I13" s="16"/>
      <c r="J13" s="16"/>
    </row>
    <row r="14" customFormat="false" ht="15" hidden="false" customHeight="true" outlineLevel="0" collapsed="false">
      <c r="A14" s="111" t="s">
        <v>0</v>
      </c>
      <c r="B14" s="111"/>
      <c r="C14" s="111"/>
      <c r="D14" s="111"/>
      <c r="E14" s="111"/>
      <c r="F14" s="111"/>
      <c r="G14" s="111"/>
      <c r="H14" s="111"/>
      <c r="I14" s="111"/>
      <c r="J14" s="111"/>
    </row>
    <row r="15" customFormat="false" ht="15" hidden="false" customHeight="true" outlineLevel="0" collapsed="false">
      <c r="A15" s="20" t="s">
        <v>142</v>
      </c>
      <c r="B15" s="16"/>
      <c r="C15" s="16"/>
      <c r="D15" s="112" t="n">
        <f aca="false">SUM(F11:J11)</f>
        <v>59965.6084111294</v>
      </c>
      <c r="E15" s="16"/>
      <c r="F15" s="16"/>
      <c r="G15" s="16"/>
      <c r="H15" s="16"/>
      <c r="I15" s="16"/>
      <c r="J15" s="16"/>
    </row>
    <row r="16" customFormat="false" ht="15" hidden="false" customHeight="true" outlineLevel="0" collapsed="false">
      <c r="A16" s="20" t="s">
        <v>143</v>
      </c>
      <c r="B16" s="16"/>
      <c r="C16" s="16"/>
      <c r="D16" s="112" t="n">
        <f aca="false">J8*(1+B5)/(B4-B5)</f>
        <v>321493.705773847</v>
      </c>
      <c r="E16" s="16"/>
      <c r="F16" s="16"/>
      <c r="G16" s="16"/>
      <c r="H16" s="16"/>
      <c r="I16" s="16"/>
      <c r="J16" s="16"/>
    </row>
    <row r="17" customFormat="false" ht="15" hidden="false" customHeight="true" outlineLevel="0" collapsed="false">
      <c r="A17" s="22" t="s">
        <v>144</v>
      </c>
      <c r="B17" s="18"/>
      <c r="C17" s="18"/>
      <c r="D17" s="112" t="n">
        <f aca="false">D16*J10</f>
        <v>199622.297144287</v>
      </c>
      <c r="E17" s="16"/>
      <c r="F17" s="16"/>
      <c r="G17" s="16"/>
      <c r="H17" s="16"/>
      <c r="I17" s="16"/>
      <c r="J17" s="16"/>
    </row>
    <row r="18" customFormat="false" ht="15" hidden="false" customHeight="true" outlineLevel="0" collapsed="false">
      <c r="A18" s="24" t="s">
        <v>145</v>
      </c>
      <c r="B18" s="16"/>
      <c r="C18" s="16"/>
      <c r="D18" s="112" t="n">
        <f aca="false">D15+D17</f>
        <v>259587.905555417</v>
      </c>
      <c r="E18" s="16"/>
      <c r="F18" s="16"/>
      <c r="G18" s="16"/>
      <c r="H18" s="16"/>
      <c r="I18" s="16"/>
      <c r="J18" s="16"/>
    </row>
    <row r="19" customFormat="false" ht="15" hidden="false" customHeight="true" outlineLevel="0" collapsed="false">
      <c r="A19" s="20" t="s">
        <v>146</v>
      </c>
      <c r="B19" s="16"/>
      <c r="C19" s="16"/>
      <c r="D19" s="100" t="n">
        <f aca="false">-BS!E19</f>
        <v>-51120</v>
      </c>
      <c r="E19" s="16"/>
      <c r="F19" s="16"/>
      <c r="G19" s="16"/>
      <c r="H19" s="16"/>
      <c r="I19" s="16"/>
      <c r="J19" s="16"/>
    </row>
    <row r="20" customFormat="false" ht="15" hidden="false" customHeight="true" outlineLevel="0" collapsed="false">
      <c r="A20" s="22" t="s">
        <v>147</v>
      </c>
      <c r="B20" s="18"/>
      <c r="C20" s="18"/>
      <c r="D20" s="100" t="n">
        <f aca="false">BS!E12</f>
        <v>8174</v>
      </c>
      <c r="E20" s="16"/>
      <c r="F20" s="16"/>
      <c r="G20" s="16"/>
      <c r="H20" s="16"/>
      <c r="I20" s="16"/>
      <c r="J20" s="16"/>
    </row>
    <row r="21" customFormat="false" ht="15.75" hidden="false" customHeight="true" outlineLevel="0" collapsed="false">
      <c r="A21" s="24" t="s">
        <v>148</v>
      </c>
      <c r="B21" s="16"/>
      <c r="C21" s="16"/>
      <c r="D21" s="112" t="n">
        <f aca="false">D18+D19+D20</f>
        <v>216641.905555417</v>
      </c>
      <c r="E21" s="16"/>
      <c r="F21" s="16"/>
      <c r="G21" s="113" t="n">
        <v>0.09</v>
      </c>
      <c r="H21" s="113" t="n">
        <v>0.1</v>
      </c>
      <c r="I21" s="113" t="n">
        <v>0.11</v>
      </c>
      <c r="J21" s="113" t="n">
        <v>0.12</v>
      </c>
    </row>
    <row r="22" customFormat="false" ht="15.75" hidden="false" customHeight="true" outlineLevel="0" collapsed="false">
      <c r="A22" s="16"/>
      <c r="B22" s="16"/>
      <c r="C22" s="16"/>
      <c r="D22" s="16"/>
      <c r="E22" s="16"/>
      <c r="F22" s="114" t="n">
        <v>0.01</v>
      </c>
      <c r="G22" s="86" t="n">
        <f aca="false">NPV(G$21,$F$8:$J$8)+($J$8*(1+$F22)/(G$21-$F22))/(1+G$21)^5+$D$19+$D$20</f>
        <v>225730.315770788</v>
      </c>
      <c r="H22" s="86" t="n">
        <f aca="false">NPV(H$21,$F$8:$J$8)+($J$8*(1+$F22)/(H$21-$F22))/(1+H$21)^5+$D$19+$D$20</f>
        <v>192722.022455339</v>
      </c>
      <c r="I22" s="86" t="n">
        <f aca="false">NPV(I$21,$F$8:$J$8)+($J$8*(1+$F22)/(I$21-$F22))/(1+I$21)^5+$D$19+$D$20</f>
        <v>166424.124636023</v>
      </c>
      <c r="J22" s="86" t="n">
        <f aca="false">NPV(J$21,$F$8:$J$8)+($J$8*(1+$F22)/(J$21-$F22))/(1+J$21)^5+$D$19+$D$20</f>
        <v>145001.793603701</v>
      </c>
    </row>
    <row r="23" customFormat="false" ht="15.75" hidden="false" customHeight="true" outlineLevel="0" collapsed="false">
      <c r="A23" s="16"/>
      <c r="B23" s="16"/>
      <c r="C23" s="16"/>
      <c r="D23" s="16"/>
      <c r="E23" s="16"/>
      <c r="F23" s="114" t="n">
        <v>0.02</v>
      </c>
      <c r="G23" s="86" t="n">
        <f aca="false">NPV(G$21,$F$8:$J$8)+($J$8*(1+$F23)/(G$21-$F23))/(1+G$21)^5+$D$19+$D$20</f>
        <v>257628.669603977</v>
      </c>
      <c r="H23" s="86" t="n">
        <f aca="false">NPV(H$21,$F$8:$J$8)+($J$8*(1+$F23)/(H$21-$F23))/(1+H$21)^5+$D$19+$D$20</f>
        <v>216641.905555417</v>
      </c>
      <c r="I23" s="86" t="n">
        <f aca="false">NPV(I$21,$F$8:$J$8)+($J$8*(1+$F23)/(I$21-$F23))/(1+I$21)^5+$D$19+$D$20</f>
        <v>184879.71173719</v>
      </c>
      <c r="J23" s="86" t="n">
        <f aca="false">NPV(J$21,$F$8:$J$8)+($J$8*(1+$F23)/(J$21-$F23))/(1+J$21)^5+$D$19+$D$20</f>
        <v>159569.712470913</v>
      </c>
    </row>
    <row r="24" customFormat="false" ht="15.75" hidden="false" customHeight="true" outlineLevel="0" collapsed="false">
      <c r="A24" s="16"/>
      <c r="B24" s="16"/>
      <c r="C24" s="16"/>
      <c r="D24" s="16"/>
      <c r="E24" s="16"/>
      <c r="F24" s="114" t="n">
        <v>0.03</v>
      </c>
      <c r="G24" s="86" t="n">
        <f aca="false">NPV(G$21,$F$8:$J$8)+($J$8*(1+$F24)/(G$21-$F24))/(1+G$21)^5+$D$19+$D$20</f>
        <v>300159.808048229</v>
      </c>
      <c r="H24" s="86" t="n">
        <f aca="false">NPV(H$21,$F$8:$J$8)+($J$8*(1+$F24)/(H$21-$F24))/(1+H$21)^5+$D$19+$D$20</f>
        <v>247396.040969803</v>
      </c>
      <c r="I24" s="86" t="n">
        <f aca="false">NPV(I$21,$F$8:$J$8)+($J$8*(1+$F24)/(I$21-$F24))/(1+I$21)^5+$D$19+$D$20</f>
        <v>207949.195613649</v>
      </c>
      <c r="J24" s="86" t="n">
        <f aca="false">NPV(J$21,$F$8:$J$8)+($J$8*(1+$F24)/(J$21-$F24))/(1+J$21)^5+$D$19+$D$20</f>
        <v>177374.946641949</v>
      </c>
    </row>
    <row r="25" customFormat="false" ht="15.75" hidden="false" customHeight="true" outlineLevel="0" collapsed="false">
      <c r="A25" s="16"/>
      <c r="B25" s="16"/>
      <c r="C25" s="16"/>
      <c r="D25" s="16"/>
      <c r="E25" s="16"/>
      <c r="F25" s="114" t="n">
        <v>0.04</v>
      </c>
      <c r="G25" s="86" t="n">
        <f aca="false">NPV(G$21,$F$8:$J$8)+($J$8*(1+$F25)/(G$21-$F25))/(1+G$21)^5+$D$19+$D$20</f>
        <v>359703.401870181</v>
      </c>
      <c r="H25" s="86" t="n">
        <f aca="false">NPV(H$21,$F$8:$J$8)+($J$8*(1+$F25)/(H$21-$F25))/(1+H$21)^5+$D$19+$D$20</f>
        <v>288401.554855651</v>
      </c>
      <c r="I25" s="86" t="n">
        <f aca="false">NPV(I$21,$F$8:$J$8)+($J$8*(1+$F25)/(I$21-$F25))/(1+I$21)^5+$D$19+$D$20</f>
        <v>237609.960597667</v>
      </c>
      <c r="J25" s="86" t="n">
        <f aca="false">NPV(J$21,$F$8:$J$8)+($J$8*(1+$F25)/(J$21-$F25))/(1+J$21)^5+$D$19+$D$20</f>
        <v>199631.489355745</v>
      </c>
    </row>
    <row r="26" customFormat="false" ht="15.75" hidden="false" customHeight="true" outlineLevel="0" collapsed="false"/>
    <row r="27" customFormat="false" ht="15.75" hidden="false" customHeight="true" outlineLevel="0" collapsed="false"/>
    <row r="28" customFormat="false" ht="15.75" hidden="false" customHeight="true" outlineLevel="0" collapsed="false">
      <c r="M28" s="16"/>
      <c r="N28" s="16"/>
      <c r="O28" s="16"/>
      <c r="P28" s="16"/>
      <c r="Q28" s="16"/>
    </row>
    <row r="29" customFormat="false" ht="15.75" hidden="false" customHeight="true" outlineLevel="0" collapsed="false">
      <c r="M29" s="16"/>
      <c r="N29" s="16"/>
      <c r="O29" s="16"/>
      <c r="P29" s="16"/>
      <c r="Q29" s="16"/>
    </row>
    <row r="30" customFormat="false" ht="15.75" hidden="false" customHeight="true" outlineLevel="0" collapsed="false">
      <c r="M30" s="16"/>
      <c r="N30" s="113"/>
      <c r="O30" s="113"/>
      <c r="P30" s="113"/>
      <c r="Q30" s="113"/>
    </row>
    <row r="31" customFormat="false" ht="15.75" hidden="false" customHeight="true" outlineLevel="0" collapsed="false">
      <c r="M31" s="114"/>
      <c r="N31" s="16"/>
      <c r="O31" s="16"/>
      <c r="P31" s="16"/>
      <c r="Q31" s="16"/>
    </row>
    <row r="32" customFormat="false" ht="15.75" hidden="false" customHeight="true" outlineLevel="0" collapsed="false">
      <c r="M32" s="114"/>
      <c r="N32" s="16"/>
      <c r="O32" s="16"/>
      <c r="P32" s="16"/>
      <c r="Q32" s="16"/>
    </row>
    <row r="33" customFormat="false" ht="15.75" hidden="false" customHeight="true" outlineLevel="0" collapsed="false">
      <c r="M33" s="114"/>
      <c r="N33" s="16"/>
      <c r="O33" s="16"/>
      <c r="P33" s="16"/>
      <c r="Q33" s="16"/>
    </row>
    <row r="34" customFormat="false" ht="15.75" hidden="false" customHeight="true" outlineLevel="0" collapsed="false">
      <c r="M34" s="114"/>
      <c r="N34" s="16"/>
      <c r="O34" s="16"/>
      <c r="P34" s="16"/>
      <c r="Q34" s="16"/>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4:J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2026-02-27T15:30:58Z</dcterms:created>
  <dc:creator>Lenovo</dc:creator>
  <dc:description/>
  <dc:language>en-US</dc:language>
  <cp:lastModifiedBy/>
  <dcterms:modified xsi:type="dcterms:W3CDTF">2026-09-16T11:34:22Z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