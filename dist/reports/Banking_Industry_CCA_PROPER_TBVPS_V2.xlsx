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4bf7eab0a4d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ef6d805f82d4532"/>
    <x:sheet xmlns:r="http://schemas.openxmlformats.org/officeDocument/2006/relationships" name="Control" sheetId="2" r:id="Rd38dd8f7a19b4896"/>
    <x:sheet xmlns:r="http://schemas.openxmlformats.org/officeDocument/2006/relationships" name="Business Profile" sheetId="3" r:id="Rf9a8c8366e5b4417"/>
    <x:sheet xmlns:r="http://schemas.openxmlformats.org/officeDocument/2006/relationships" name="CCA Summary" sheetId="4" r:id="Raa2b66519da54126"/>
    <x:sheet xmlns:r="http://schemas.openxmlformats.org/officeDocument/2006/relationships" name="Valuation &amp; Tangible" sheetId="5" r:id="Reb010aa63fa44563"/>
    <x:sheet xmlns:r="http://schemas.openxmlformats.org/officeDocument/2006/relationships" name="Operating" sheetId="6" r:id="R3335c4aa591448f5"/>
    <x:sheet xmlns:r="http://schemas.openxmlformats.org/officeDocument/2006/relationships" name="Relative Valuation" sheetId="7" r:id="R3f93641e934b4494"/>
    <x:sheet xmlns:r="http://schemas.openxmlformats.org/officeDocument/2006/relationships" name="Secondary" sheetId="8" r:id="R53230da178f64076"/>
    <x:sheet xmlns:r="http://schemas.openxmlformats.org/officeDocument/2006/relationships" name="Sources" sheetId="9" r:id="R88852bd997be4051"/>
    <x:sheet xmlns:r="http://schemas.openxmlformats.org/officeDocument/2006/relationships" name="QA" sheetId="10" r:id="R00ee591b99bb4b1f"/>
    <x:sheet xmlns:r="http://schemas.openxmlformats.org/officeDocument/2006/relationships" name="Raw Data" sheetId="11" r:id="Rea3e13fae89940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₹#,##0.00;[Red](₹#,##0.00);-"/>
    <x:numFmt numFmtId="201" formatCode="0.00x;[Red](0.00x);-"/>
    <x:numFmt numFmtId="202" formatCode="0.00%;[Red](0.00%);-"/>
    <x:numFmt numFmtId="203" formatCode="0.00;[Red](0.00);-"/>
  </x:numFmts>
  <x:fonts count="13">
    <x:font>
      <x:sz val="11"/>
      <x:name val="Carlito"/>
    </x:font>
    <x:font>
      <x:b/>
      <x:sz val="15"/>
      <x:color rgb="FFFFFFFF"/>
      <x:name val="Carlito"/>
    </x:font>
    <x:font>
      <x:i/>
      <x:sz val="10"/>
      <x:color rgb="FF4D4D4D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i/>
      <x:sz val="11"/>
      <x:color rgb="FF555555"/>
      <x:name val="Carlito"/>
    </x:font>
    <x:font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4F9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7FBFF"/>
      </x:patternFill>
    </x:fill>
    <x:fill>
      <x:patternFill patternType="solid">
        <x:fgColor rgb="FFEAF3F8"/>
      </x:patternFill>
    </x:fill>
  </x:fills>
  <x:borders count="27">
    <x:border/>
    <x:border/>
    <x:border>
      <x:bottom/>
    </x:border>
    <x:border>
      <x:bottom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top/>
    </x:border>
    <x:border>
      <x:left/>
      <x:right/>
      <x:top/>
    </x:border>
    <x:border>
      <x:left/>
      <x:top/>
    </x:border>
    <x:border>
      <x:top/>
    </x:border>
    <x:border>
      <x:top/>
    </x:border>
    <x:border>
      <x:right/>
      <x:top/>
      <x:bottom/>
    </x:border>
    <x:border>
      <x:left/>
      <x:right/>
      <x:top/>
      <x:bottom/>
    </x:border>
    <x:border>
      <x:left/>
      <x:top/>
      <x:bottom/>
    </x:border>
  </x:borders>
  <x:cellStyleXfs count="1">
    <x:xf numFmtId="0" fontId="0" fillId="0" borderId="0"/>
  </x:cellStyleXfs>
  <x:cellXfs count="2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left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0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left" wrapText="1"/>
    </x:xf>
    <x:xf numFmtId="0" fontId="5" fillId="6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left"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left" wrapText="1"/>
    </x:xf>
    <x:xf numFmtId="0" fontId="6" fillId="3" borderId="1" xfId="0" applyNumberFormat="1" applyFont="1" applyFill="1" applyBorder="1" applyAlignment="1">
      <x:alignment horizontal="left" vertical="center" wrapText="1"/>
    </x:xf>
    <x:xf numFmtId="0" fontId="1" fillId="2" borderId="4" xfId="0" applyNumberFormat="1" applyFont="1" applyFill="1" applyBorder="1" applyAlignment="1">
      <x:alignment horizontal="left" vertical="center" wrapText="1"/>
    </x:xf>
    <x:xf numFmtId="0" fontId="1" fillId="2" borderId="5" xfId="0" applyNumberFormat="1" applyFont="1" applyFill="1" applyBorder="1" applyAlignment="1">
      <x:alignment horizontal="left" vertical="center" wrapText="1"/>
    </x:xf>
    <x:xf numFmtId="0" fontId="1" fillId="2" borderId="6" xfId="0" applyNumberFormat="1" applyFont="1" applyFill="1" applyBorder="1" applyAlignment="1">
      <x:alignment horizontal="left" vertical="center" wrapText="1"/>
    </x:xf>
    <x:xf numFmtId="0" fontId="2" fillId="3" borderId="7" xfId="0" applyNumberFormat="1" applyFont="1" applyFill="1" applyBorder="1" applyAlignment="1">
      <x:alignment horizontal="left" vertical="center" wrapText="1"/>
    </x:xf>
    <x:xf numFmtId="0" fontId="2" fillId="3" borderId="8" xfId="0" applyNumberFormat="1" applyFont="1" applyFill="1" applyBorder="1" applyAlignment="1">
      <x:alignment horizontal="left" vertical="center" wrapText="1"/>
    </x:xf>
    <x:xf numFmtId="0" fontId="2" fillId="3" borderId="9" xfId="0" applyNumberFormat="1" applyFont="1" applyFill="1" applyBorder="1" applyAlignment="1">
      <x:alignment horizontal="left" vertical="center" wrapText="1"/>
    </x:xf>
    <x:xf numFmtId="0" fontId="5" fillId="6" borderId="7" xfId="0" applyNumberFormat="1" applyFont="1" applyFill="1" applyBorder="1" applyAlignment="1">
      <x:alignment horizontal="left" vertical="center" wrapText="1"/>
    </x:xf>
    <x:xf numFmtId="0" fontId="5" fillId="6" borderId="8" xfId="0" applyNumberFormat="1" applyFont="1" applyFill="1" applyBorder="1" applyAlignment="1">
      <x:alignment horizontal="left" vertical="center" wrapText="1"/>
    </x:xf>
    <x:xf numFmtId="0" fontId="5" fillId="6" borderId="9" xfId="0" applyNumberFormat="1" applyFont="1" applyFill="1" applyBorder="1" applyAlignment="1">
      <x:alignment horizontal="left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6" fillId="3" borderId="7" xfId="0" applyNumberFormat="1" applyFont="1" applyFill="1" applyBorder="1" applyAlignment="1">
      <x:alignment horizontal="left" vertical="center" wrapText="1"/>
    </x:xf>
    <x:xf numFmtId="0" fontId="6" fillId="3" borderId="8" xfId="0" applyNumberFormat="1" applyFont="1" applyFill="1" applyBorder="1" applyAlignment="1">
      <x:alignment horizontal="left" vertical="center" wrapText="1"/>
    </x:xf>
    <x:xf numFmtId="0" fontId="6" fillId="3" borderId="9" xfId="0" applyNumberFormat="1" applyFont="1" applyFill="1" applyBorder="1" applyAlignment="1">
      <x:alignment horizontal="left" vertical="center" wrapText="1"/>
    </x:xf>
    <x:xf numFmtId="0" fontId="6" fillId="3" borderId="16" xfId="0" applyNumberFormat="1" applyFont="1" applyFill="1" applyBorder="1" applyAlignment="1">
      <x:alignment horizontal="left" vertical="center" wrapText="1"/>
    </x:xf>
    <x:xf numFmtId="0" fontId="6" fillId="3" borderId="17" xfId="0" applyNumberFormat="1" applyFont="1" applyFill="1" applyBorder="1" applyAlignment="1">
      <x:alignment horizontal="left" vertical="center" wrapText="1"/>
    </x:xf>
    <x:xf numFmtId="0" fontId="6" fillId="3" borderId="18" xfId="0" applyNumberFormat="1" applyFont="1" applyFill="1" applyBorder="1" applyAlignment="1">
      <x:alignment horizontal="left" vertical="center" wrapText="1"/>
    </x:xf>
    <x:xf numFmtId="0" fontId="1" fillId="2" borderId="10" xfId="0" applyNumberFormat="1" applyFont="1" applyFill="1" applyBorder="1" applyAlignment="1">
      <x:alignment horizontal="left" vertical="center" wrapText="1"/>
    </x:xf>
    <x:xf numFmtId="0" fontId="1" fillId="2" borderId="11" xfId="0" applyNumberFormat="1" applyFont="1" applyFill="1" applyBorder="1" applyAlignment="1">
      <x:alignment horizontal="left" vertical="center" wrapText="1"/>
    </x:xf>
    <x:xf numFmtId="0" fontId="1" fillId="2" borderId="12" xfId="0" applyNumberFormat="1" applyFont="1" applyFill="1" applyBorder="1" applyAlignment="1">
      <x:alignment horizontal="left" vertical="center" wrapText="1"/>
    </x:xf>
    <x:xf numFmtId="0" fontId="2" fillId="3" borderId="13" xfId="0" applyNumberFormat="1" applyFont="1" applyFill="1" applyBorder="1" applyAlignment="1">
      <x:alignment horizontal="left" vertical="center" wrapText="1"/>
    </x:xf>
    <x:xf numFmtId="0" fontId="2" fillId="3" borderId="14" xfId="0" applyNumberFormat="1" applyFont="1" applyFill="1" applyBorder="1" applyAlignment="1">
      <x:alignment horizontal="left" vertical="center" wrapText="1"/>
    </x:xf>
    <x:xf numFmtId="0" fontId="2" fillId="3" borderId="15" xfId="0" applyNumberFormat="1" applyFont="1" applyFill="1" applyBorder="1" applyAlignment="1">
      <x:alignment horizontal="left" vertical="center" wrapText="1"/>
    </x:xf>
    <x:xf numFmtId="0" fontId="5" fillId="6" borderId="13" xfId="0" applyNumberFormat="1" applyFont="1" applyFill="1" applyBorder="1" applyAlignment="1">
      <x:alignment horizontal="left" vertical="center" wrapText="1"/>
    </x:xf>
    <x:xf numFmtId="0" fontId="5" fillId="6" borderId="14" xfId="0" applyNumberFormat="1" applyFont="1" applyFill="1" applyBorder="1" applyAlignment="1">
      <x:alignment horizontal="left" vertical="center" wrapText="1"/>
    </x:xf>
    <x:xf numFmtId="0" fontId="5" fillId="6" borderId="15" xfId="0" applyNumberFormat="1" applyFont="1" applyFill="1" applyBorder="1" applyAlignment="1">
      <x:alignment horizontal="left"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horizontal="center" vertical="center" wrapText="1"/>
    </x:xf>
    <x:xf numFmtId="0" fontId="6" fillId="3" borderId="13" xfId="0" applyNumberFormat="1" applyFont="1" applyFill="1" applyBorder="1" applyAlignment="1">
      <x:alignment horizontal="left" vertical="center" wrapText="1"/>
    </x:xf>
    <x:xf numFmtId="0" fontId="6" fillId="3" borderId="14" xfId="0" applyNumberFormat="1" applyFont="1" applyFill="1" applyBorder="1" applyAlignment="1">
      <x:alignment horizontal="left" vertical="center" wrapText="1"/>
    </x:xf>
    <x:xf numFmtId="0" fontId="6" fillId="3" borderId="15" xfId="0" applyNumberFormat="1" applyFont="1" applyFill="1" applyBorder="1" applyAlignment="1">
      <x:alignment horizontal="left" vertical="center" wrapText="1"/>
    </x:xf>
    <x:xf numFmtId="0" fontId="6" fillId="3" borderId="19" xfId="0" applyNumberFormat="1" applyFont="1" applyFill="1" applyBorder="1" applyAlignment="1">
      <x:alignment horizontal="left" vertical="center" wrapText="1"/>
    </x:xf>
    <x:xf numFmtId="0" fontId="6" fillId="3" borderId="20" xfId="0" applyNumberFormat="1" applyFont="1" applyFill="1" applyBorder="1" applyAlignment="1">
      <x:alignment horizontal="left" vertical="center" wrapText="1"/>
    </x:xf>
    <x:xf numFmtId="0" fontId="6" fillId="3" borderId="21" xfId="0" applyNumberFormat="1" applyFont="1" applyFill="1" applyBorder="1" applyAlignment="1">
      <x:alignment horizontal="left" vertical="center"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horizontal="right" wrapText="1"/>
    </x:xf>
    <x:xf numFmtId="0" fontId="7" fillId="0" borderId="8" xfId="0" applyNumberFormat="1" applyFont="1" applyFill="1" applyBorder="1" applyAlignment="1">
      <x:alignment horizontal="right" vertical="center" wrapText="1"/>
    </x:xf>
    <x:xf numFmtId="0" fontId="7" fillId="0" borderId="14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horizontal="right" wrapText="1"/>
    </x:xf>
    <x:xf numFmtId="0" fontId="7" fillId="0" borderId="14" xfId="0" applyNumberFormat="1" applyFont="1" applyFill="1" applyBorder="1" applyAlignment="1">
      <x:alignment horizontal="right" vertical="center" wrapText="1"/>
    </x:xf>
    <x:xf numFmtId="200" fontId="7" fillId="0" borderId="8" xfId="0" applyNumberFormat="1" applyFont="1" applyFill="1" applyBorder="1" applyAlignment="1">
      <x:alignment horizontal="right" vertical="center" wrapText="1"/>
    </x:xf>
    <x:xf numFmtId="200" fontId="7" fillId="0" borderId="14" xfId="0" applyNumberFormat="1" applyFont="1" applyFill="1" applyBorder="1" applyAlignment="1">
      <x:alignment horizontal="right" vertical="center" wrapText="1"/>
    </x:xf>
    <x:xf numFmtId="201" fontId="7" fillId="0" borderId="8" xfId="0" applyNumberFormat="1" applyFont="1" applyFill="1" applyBorder="1" applyAlignment="1">
      <x:alignment horizontal="right" vertical="center" wrapText="1"/>
    </x:xf>
    <x:xf numFmtId="201" fontId="7" fillId="0" borderId="14" xfId="0" applyNumberFormat="1" applyFont="1" applyFill="1" applyBorder="1" applyAlignment="1">
      <x:alignment horizontal="right" vertical="center" wrapText="1"/>
    </x:xf>
    <x:xf numFmtId="202" fontId="7" fillId="0" borderId="8" xfId="0" applyNumberFormat="1" applyFont="1" applyFill="1" applyBorder="1" applyAlignment="1">
      <x:alignment horizontal="right" vertical="center" wrapText="1"/>
    </x:xf>
    <x:xf numFmtId="202" fontId="7" fillId="0" borderId="14" xfId="0" applyNumberFormat="1" applyFont="1" applyFill="1" applyBorder="1" applyAlignment="1">
      <x:alignment horizontal="right" vertical="center" wrapText="1"/>
    </x:xf>
    <x:xf numFmtId="203" fontId="7" fillId="0" borderId="8" xfId="0" applyNumberFormat="1" applyFont="1" applyFill="1" applyBorder="1" applyAlignment="1">
      <x:alignment horizontal="right" vertical="center" wrapText="1"/>
    </x:xf>
    <x:xf numFmtId="203" fontId="7" fillId="0" borderId="14" xfId="0" applyNumberFormat="1" applyFont="1" applyFill="1" applyBorder="1" applyAlignment="1">
      <x:alignment horizontal="right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 applyAlignment="1">
      <x:alignment horizontal="left" vertical="center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horizontal="left"/>
    </x:xf>
    <x:xf numFmtId="0" fontId="8" fillId="0" borderId="1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right"/>
    </x:xf>
    <x:xf numFmtId="0" fontId="9" fillId="0" borderId="0" xfId="0" applyNumberFormat="1" applyFont="1" applyFill="1" applyBorder="1" applyAlignment="1">
      <x:alignment horizontal="right"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horizontal="right"/>
    </x:xf>
    <x:xf numFmtId="0" fontId="9" fillId="0" borderId="1" xfId="0" applyNumberFormat="1" applyFont="1" applyFill="1" applyBorder="1" applyAlignment="1">
      <x:alignment horizontal="right" vertic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right"/>
    </x:xf>
    <x:xf numFmtId="0" fontId="10" fillId="0" borderId="0" xfId="0" applyNumberFormat="1" applyFont="1" applyFill="1" applyBorder="1" applyAlignment="1">
      <x:alignment horizontal="right" vertical="center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horizontal="right"/>
    </x:xf>
    <x:xf numFmtId="0" fontId="10" fillId="0" borderId="1" xfId="0" applyNumberFormat="1" applyFont="1" applyFill="1" applyBorder="1" applyAlignment="1">
      <x:alignment horizontal="right" vertical="center"/>
    </x:xf>
    <x:xf numFmtId="200" fontId="9" fillId="0" borderId="0" xfId="0" applyNumberFormat="1" applyFont="1" applyFill="1" applyBorder="1" applyAlignment="1">
      <x:alignment horizontal="right" vertical="center"/>
    </x:xf>
    <x:xf numFmtId="200" fontId="10" fillId="0" borderId="0" xfId="0" applyNumberFormat="1" applyFont="1" applyFill="1" applyBorder="1" applyAlignment="1">
      <x:alignment horizontal="right" vertical="center"/>
    </x:xf>
    <x:xf numFmtId="200" fontId="9" fillId="0" borderId="1" xfId="0" applyNumberFormat="1" applyFont="1" applyFill="1" applyBorder="1" applyAlignment="1">
      <x:alignment horizontal="right" vertical="center"/>
    </x:xf>
    <x:xf numFmtId="200" fontId="10" fillId="0" borderId="1" xfId="0" applyNumberFormat="1" applyFont="1" applyFill="1" applyBorder="1" applyAlignment="1">
      <x:alignment horizontal="right" vertical="center"/>
    </x:xf>
    <x:xf numFmtId="203" fontId="9" fillId="0" borderId="0" xfId="0" applyNumberFormat="1" applyFont="1" applyFill="1" applyBorder="1" applyAlignment="1">
      <x:alignment horizontal="right" vertical="center"/>
    </x:xf>
    <x:xf numFmtId="203" fontId="10" fillId="0" borderId="0" xfId="0" applyNumberFormat="1" applyFont="1" applyFill="1" applyBorder="1" applyAlignment="1">
      <x:alignment horizontal="right" vertical="center"/>
    </x:xf>
    <x:xf numFmtId="203" fontId="9" fillId="0" borderId="1" xfId="0" applyNumberFormat="1" applyFont="1" applyFill="1" applyBorder="1" applyAlignment="1">
      <x:alignment horizontal="right" vertical="center"/>
    </x:xf>
    <x:xf numFmtId="203" fontId="10" fillId="0" borderId="1" xfId="0" applyNumberFormat="1" applyFont="1" applyFill="1" applyBorder="1" applyAlignment="1">
      <x:alignment horizontal="right" vertical="center"/>
    </x:xf>
    <x:xf numFmtId="202" fontId="10" fillId="0" borderId="0" xfId="0" applyNumberFormat="1" applyFont="1" applyFill="1" applyBorder="1" applyAlignment="1">
      <x:alignment horizontal="right" vertical="center"/>
    </x:xf>
    <x:xf numFmtId="202" fontId="10" fillId="0" borderId="1" xfId="0" applyNumberFormat="1" applyFont="1" applyFill="1" applyBorder="1" applyAlignment="1">
      <x:alignment horizontal="right" vertical="center"/>
    </x:xf>
    <x:xf numFmtId="202" fontId="9" fillId="0" borderId="0" xfId="0" applyNumberFormat="1" applyFont="1" applyFill="1" applyBorder="1" applyAlignment="1">
      <x:alignment horizontal="right" vertical="center"/>
    </x:xf>
    <x:xf numFmtId="202" fontId="9" fillId="0" borderId="1" xfId="0" applyNumberFormat="1" applyFont="1" applyFill="1" applyBorder="1" applyAlignment="1">
      <x:alignment horizontal="right" vertical="center"/>
    </x:xf>
    <x:xf numFmtId="201" fontId="10" fillId="0" borderId="0" xfId="0" applyNumberFormat="1" applyFont="1" applyFill="1" applyBorder="1" applyAlignment="1">
      <x:alignment horizontal="right" vertical="center"/>
    </x:xf>
    <x:xf numFmtId="201" fontId="10" fillId="0" borderId="1" xfId="0" applyNumberFormat="1" applyFont="1" applyFill="1" applyBorder="1" applyAlignment="1">
      <x:alignment horizontal="right" vertical="center"/>
    </x:xf>
    <x:xf numFmtId="201" fontId="9" fillId="0" borderId="0" xfId="0" applyNumberFormat="1" applyFont="1" applyFill="1" applyBorder="1" applyAlignment="1">
      <x:alignment horizontal="right" vertical="center"/>
    </x:xf>
    <x:xf numFmtId="201" fontId="9" fillId="0" borderId="1" xfId="0" applyNumberFormat="1" applyFont="1" applyFill="1" applyBorder="1" applyAlignment="1">
      <x:alignment horizontal="right" vertical="center"/>
    </x:xf>
    <x:xf numFmtId="0" fontId="8" fillId="7" borderId="0" xfId="0" applyNumberFormat="1" applyFont="1" applyFill="1" applyBorder="1" applyAlignment="1">
      <x:alignment horizontal="left" vertical="center"/>
    </x:xf>
    <x:xf numFmtId="200" fontId="10" fillId="7" borderId="0" xfId="0" applyNumberFormat="1" applyFont="1" applyFill="1" applyBorder="1" applyAlignment="1">
      <x:alignment horizontal="right" vertical="center"/>
    </x:xf>
    <x:xf numFmtId="0" fontId="4" fillId="7" borderId="0" xfId="0" applyNumberFormat="1" applyFont="1" applyFill="1" applyBorder="1" applyAlignment="1">
      <x:alignment horizontal="left" vertical="center"/>
    </x:xf>
    <x:xf numFmtId="200" fontId="4" fillId="7" borderId="0" xfId="0" applyNumberFormat="1" applyFont="1" applyFill="1" applyBorder="1" applyAlignment="1">
      <x:alignment horizontal="right" vertical="center"/>
    </x:xf>
    <x:xf numFmtId="0" fontId="8" fillId="7" borderId="1" xfId="0" applyNumberFormat="1" applyFont="1" applyFill="1" applyBorder="1" applyAlignment="1">
      <x:alignment horizontal="left" vertical="center"/>
    </x:xf>
    <x:xf numFmtId="200" fontId="10" fillId="7" borderId="1" xfId="0" applyNumberFormat="1" applyFont="1" applyFill="1" applyBorder="1" applyAlignment="1">
      <x:alignment horizontal="right" vertical="center"/>
    </x:xf>
    <x:xf numFmtId="0" fontId="4" fillId="7" borderId="1" xfId="0" applyNumberFormat="1" applyFont="1" applyFill="1" applyBorder="1" applyAlignment="1">
      <x:alignment horizontal="left" vertical="center"/>
    </x:xf>
    <x:xf numFmtId="200" fontId="4" fillId="7" borderId="1" xfId="0" applyNumberFormat="1" applyFont="1" applyFill="1" applyBorder="1" applyAlignment="1">
      <x:alignment horizontal="right" vertical="center"/>
    </x:xf>
    <x:xf numFmtId="0" fontId="8" fillId="8" borderId="0" xfId="0" applyNumberFormat="1" applyFont="1" applyFill="1" applyBorder="1" applyAlignment="1">
      <x:alignment horizontal="left" vertical="center"/>
    </x:xf>
    <x:xf numFmtId="201" fontId="10" fillId="8" borderId="0" xfId="0" applyNumberFormat="1" applyFont="1" applyFill="1" applyBorder="1" applyAlignment="1">
      <x:alignment horizontal="right" vertical="center"/>
    </x:xf>
    <x:xf numFmtId="0" fontId="4" fillId="8" borderId="0" xfId="0" applyNumberFormat="1" applyFont="1" applyFill="1" applyBorder="1" applyAlignment="1">
      <x:alignment horizontal="left" vertical="center"/>
    </x:xf>
    <x:xf numFmtId="201" fontId="4" fillId="8" borderId="0" xfId="0" applyNumberFormat="1" applyFont="1" applyFill="1" applyBorder="1" applyAlignment="1">
      <x:alignment horizontal="right" vertical="center"/>
    </x:xf>
    <x:xf numFmtId="0" fontId="8" fillId="8" borderId="1" xfId="0" applyNumberFormat="1" applyFont="1" applyFill="1" applyBorder="1" applyAlignment="1">
      <x:alignment horizontal="left" vertical="center"/>
    </x:xf>
    <x:xf numFmtId="201" fontId="10" fillId="8" borderId="1" xfId="0" applyNumberFormat="1" applyFont="1" applyFill="1" applyBorder="1" applyAlignment="1">
      <x:alignment horizontal="right" vertical="center"/>
    </x:xf>
    <x:xf numFmtId="0" fontId="4" fillId="8" borderId="1" xfId="0" applyNumberFormat="1" applyFont="1" applyFill="1" applyBorder="1" applyAlignment="1">
      <x:alignment horizontal="left" vertical="center"/>
    </x:xf>
    <x:xf numFmtId="201" fontId="4" fillId="8" borderId="1" xfId="0" applyNumberFormat="1" applyFont="1" applyFill="1" applyBorder="1" applyAlignment="1">
      <x:alignment horizontal="right" vertical="center"/>
    </x:xf>
    <x:xf numFmtId="0" fontId="8" fillId="0" borderId="22" xfId="0" applyNumberFormat="1" applyFont="1" applyFill="1" applyBorder="1" applyAlignment="1">
      <x:alignment horizontal="left" vertical="center"/>
    </x:xf>
    <x:xf numFmtId="200" fontId="9" fillId="0" borderId="22" xfId="0" applyNumberFormat="1" applyFont="1" applyFill="1" applyBorder="1" applyAlignment="1">
      <x:alignment horizontal="right" vertical="center"/>
    </x:xf>
    <x:xf numFmtId="200" fontId="10" fillId="0" borderId="22" xfId="0" applyNumberFormat="1" applyFont="1" applyFill="1" applyBorder="1" applyAlignment="1">
      <x:alignment horizontal="right" vertical="center"/>
    </x:xf>
    <x:xf numFmtId="0" fontId="8" fillId="0" borderId="23" xfId="0" applyNumberFormat="1" applyFont="1" applyFill="1" applyBorder="1" applyAlignment="1">
      <x:alignment horizontal="left" vertical="center"/>
    </x:xf>
    <x:xf numFmtId="200" fontId="9" fillId="0" borderId="23" xfId="0" applyNumberFormat="1" applyFont="1" applyFill="1" applyBorder="1" applyAlignment="1">
      <x:alignment horizontal="right" vertical="center"/>
    </x:xf>
    <x:xf numFmtId="200" fontId="10" fillId="0" borderId="23" xfId="0" applyNumberFormat="1" applyFont="1" applyFill="1" applyBorder="1" applyAlignment="1">
      <x:alignment horizontal="right" vertic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vertical="top" wrapText="1"/>
    </x:xf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wrapText="1"/>
    </x:xf>
    <x:xf numFmtId="0" fontId="11" fillId="3" borderId="1" xfId="0" applyNumberFormat="1" applyFont="1" applyFill="1" applyBorder="1" applyAlignment="1">
      <x:alignment vertical="top" wrapText="1"/>
    </x:xf>
    <x:xf numFmtId="202" fontId="9" fillId="7" borderId="0" xfId="0" applyNumberFormat="1" applyFont="1" applyFill="1" applyBorder="1" applyAlignment="1">
      <x:alignment horizontal="right" vertical="center"/>
    </x:xf>
    <x:xf numFmtId="202" fontId="10" fillId="7" borderId="0" xfId="0" applyNumberFormat="1" applyFont="1" applyFill="1" applyBorder="1" applyAlignment="1">
      <x:alignment horizontal="right" vertical="center"/>
    </x:xf>
    <x:xf numFmtId="202" fontId="9" fillId="7" borderId="1" xfId="0" applyNumberFormat="1" applyFont="1" applyFill="1" applyBorder="1" applyAlignment="1">
      <x:alignment horizontal="right" vertical="center"/>
    </x:xf>
    <x:xf numFmtId="202" fontId="10" fillId="7" borderId="1" xfId="0" applyNumberFormat="1" applyFont="1" applyFill="1" applyBorder="1" applyAlignment="1">
      <x:alignment horizontal="right" vertical="center"/>
    </x:xf>
    <x:xf numFmtId="0" fontId="8" fillId="7" borderId="22" xfId="0" applyNumberFormat="1" applyFont="1" applyFill="1" applyBorder="1" applyAlignment="1">
      <x:alignment horizontal="left" vertical="center"/>
    </x:xf>
    <x:xf numFmtId="202" fontId="9" fillId="7" borderId="22" xfId="0" applyNumberFormat="1" applyFont="1" applyFill="1" applyBorder="1" applyAlignment="1">
      <x:alignment horizontal="right" vertical="center"/>
    </x:xf>
    <x:xf numFmtId="202" fontId="10" fillId="7" borderId="22" xfId="0" applyNumberFormat="1" applyFont="1" applyFill="1" applyBorder="1" applyAlignment="1">
      <x:alignment horizontal="right" vertical="center"/>
    </x:xf>
    <x:xf numFmtId="0" fontId="8" fillId="7" borderId="23" xfId="0" applyNumberFormat="1" applyFont="1" applyFill="1" applyBorder="1" applyAlignment="1">
      <x:alignment horizontal="left" vertical="center"/>
    </x:xf>
    <x:xf numFmtId="202" fontId="9" fillId="7" borderId="23" xfId="0" applyNumberFormat="1" applyFont="1" applyFill="1" applyBorder="1" applyAlignment="1">
      <x:alignment horizontal="right" vertical="center"/>
    </x:xf>
    <x:xf numFmtId="202" fontId="10" fillId="7" borderId="23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horizontal="left" vertical="center"/>
    </x:xf>
    <x:xf numFmtId="200" fontId="9" fillId="0" borderId="8" xfId="0" applyNumberFormat="1" applyFont="1" applyFill="1" applyBorder="1" applyAlignment="1">
      <x:alignment horizontal="right" vertical="center"/>
    </x:xf>
    <x:xf numFmtId="200" fontId="10" fillId="0" borderId="8" xfId="0" applyNumberFormat="1" applyFont="1" applyFill="1" applyBorder="1" applyAlignment="1">
      <x:alignment horizontal="right" vertical="center"/>
    </x:xf>
    <x:xf numFmtId="200" fontId="10" fillId="0" borderId="9" xfId="0" applyNumberFormat="1" applyFont="1" applyFill="1" applyBorder="1" applyAlignment="1">
      <x:alignment horizontal="right" vertical="center"/>
    </x:xf>
    <x:xf numFmtId="203" fontId="9" fillId="0" borderId="8" xfId="0" applyNumberFormat="1" applyFont="1" applyFill="1" applyBorder="1" applyAlignment="1">
      <x:alignment horizontal="right" vertical="center"/>
    </x:xf>
    <x:xf numFmtId="203" fontId="10" fillId="0" borderId="8" xfId="0" applyNumberFormat="1" applyFont="1" applyFill="1" applyBorder="1" applyAlignment="1">
      <x:alignment horizontal="right" vertical="center"/>
    </x:xf>
    <x:xf numFmtId="203" fontId="10" fillId="0" borderId="9" xfId="0" applyNumberFormat="1" applyFont="1" applyFill="1" applyBorder="1" applyAlignment="1">
      <x:alignment horizontal="right" vertical="center"/>
    </x:xf>
    <x:xf numFmtId="0" fontId="4" fillId="7" borderId="7" xfId="0" applyNumberFormat="1" applyFont="1" applyFill="1" applyBorder="1" applyAlignment="1">
      <x:alignment horizontal="left" vertical="center"/>
    </x:xf>
    <x:xf numFmtId="200" fontId="4" fillId="7" borderId="8" xfId="0" applyNumberFormat="1" applyFont="1" applyFill="1" applyBorder="1" applyAlignment="1">
      <x:alignment horizontal="right" vertical="center"/>
    </x:xf>
    <x:xf numFmtId="200" fontId="4" fillId="7" borderId="9" xfId="0" applyNumberFormat="1" applyFont="1" applyFill="1" applyBorder="1" applyAlignment="1">
      <x:alignment horizontal="right" vertical="center"/>
    </x:xf>
    <x:xf numFmtId="202" fontId="10" fillId="0" borderId="8" xfId="0" applyNumberFormat="1" applyFont="1" applyFill="1" applyBorder="1" applyAlignment="1">
      <x:alignment horizontal="right" vertical="center"/>
    </x:xf>
    <x:xf numFmtId="202" fontId="10" fillId="0" borderId="9" xfId="0" applyNumberFormat="1" applyFont="1" applyFill="1" applyBorder="1" applyAlignment="1">
      <x:alignment horizontal="right" vertical="center"/>
    </x:xf>
    <x:xf numFmtId="0" fontId="4" fillId="8" borderId="7" xfId="0" applyNumberFormat="1" applyFont="1" applyFill="1" applyBorder="1" applyAlignment="1">
      <x:alignment horizontal="left" vertical="center"/>
    </x:xf>
    <x:xf numFmtId="201" fontId="4" fillId="8" borderId="8" xfId="0" applyNumberFormat="1" applyFont="1" applyFill="1" applyBorder="1" applyAlignment="1">
      <x:alignment horizontal="right" vertical="center"/>
    </x:xf>
    <x:xf numFmtId="201" fontId="4" fillId="8" borderId="9" xfId="0" applyNumberFormat="1" applyFont="1" applyFill="1" applyBorder="1" applyAlignment="1">
      <x:alignment horizontal="right" vertical="center"/>
    </x:xf>
    <x:xf numFmtId="201" fontId="9" fillId="0" borderId="8" xfId="0" applyNumberFormat="1" applyFont="1" applyFill="1" applyBorder="1" applyAlignment="1">
      <x:alignment horizontal="right" vertical="center"/>
    </x:xf>
    <x:xf numFmtId="201" fontId="10" fillId="0" borderId="8" xfId="0" applyNumberFormat="1" applyFont="1" applyFill="1" applyBorder="1" applyAlignment="1">
      <x:alignment horizontal="right" vertical="center"/>
    </x:xf>
    <x:xf numFmtId="201" fontId="10" fillId="0" borderId="9" xfId="0" applyNumberFormat="1" applyFont="1" applyFill="1" applyBorder="1" applyAlignment="1">
      <x:alignment horizontal="right" vertical="center"/>
    </x:xf>
    <x:xf numFmtId="202" fontId="9" fillId="0" borderId="8" xfId="0" applyNumberFormat="1" applyFont="1" applyFill="1" applyBorder="1" applyAlignment="1">
      <x:alignment horizontal="right" vertical="center"/>
    </x:xf>
    <x:xf numFmtId="0" fontId="8" fillId="0" borderId="13" xfId="0" applyNumberFormat="1" applyFont="1" applyFill="1" applyBorder="1" applyAlignment="1">
      <x:alignment horizontal="left" vertical="center"/>
    </x:xf>
    <x:xf numFmtId="200" fontId="9" fillId="0" borderId="14" xfId="0" applyNumberFormat="1" applyFont="1" applyFill="1" applyBorder="1" applyAlignment="1">
      <x:alignment horizontal="right" vertical="center"/>
    </x:xf>
    <x:xf numFmtId="200" fontId="10" fillId="0" borderId="14" xfId="0" applyNumberFormat="1" applyFont="1" applyFill="1" applyBorder="1" applyAlignment="1">
      <x:alignment horizontal="right" vertical="center"/>
    </x:xf>
    <x:xf numFmtId="200" fontId="10" fillId="0" borderId="15" xfId="0" applyNumberFormat="1" applyFont="1" applyFill="1" applyBorder="1" applyAlignment="1">
      <x:alignment horizontal="right" vertical="center"/>
    </x:xf>
    <x:xf numFmtId="203" fontId="9" fillId="0" borderId="14" xfId="0" applyNumberFormat="1" applyFont="1" applyFill="1" applyBorder="1" applyAlignment="1">
      <x:alignment horizontal="right" vertical="center"/>
    </x:xf>
    <x:xf numFmtId="203" fontId="10" fillId="0" borderId="14" xfId="0" applyNumberFormat="1" applyFont="1" applyFill="1" applyBorder="1" applyAlignment="1">
      <x:alignment horizontal="right" vertical="center"/>
    </x:xf>
    <x:xf numFmtId="203" fontId="10" fillId="0" borderId="15" xfId="0" applyNumberFormat="1" applyFont="1" applyFill="1" applyBorder="1" applyAlignment="1">
      <x:alignment horizontal="right" vertical="center"/>
    </x:xf>
    <x:xf numFmtId="0" fontId="4" fillId="7" borderId="13" xfId="0" applyNumberFormat="1" applyFont="1" applyFill="1" applyBorder="1" applyAlignment="1">
      <x:alignment horizontal="left" vertical="center"/>
    </x:xf>
    <x:xf numFmtId="200" fontId="4" fillId="7" borderId="14" xfId="0" applyNumberFormat="1" applyFont="1" applyFill="1" applyBorder="1" applyAlignment="1">
      <x:alignment horizontal="right" vertical="center"/>
    </x:xf>
    <x:xf numFmtId="200" fontId="4" fillId="7" borderId="15" xfId="0" applyNumberFormat="1" applyFont="1" applyFill="1" applyBorder="1" applyAlignment="1">
      <x:alignment horizontal="right" vertical="center"/>
    </x:xf>
    <x:xf numFmtId="202" fontId="10" fillId="0" borderId="14" xfId="0" applyNumberFormat="1" applyFont="1" applyFill="1" applyBorder="1" applyAlignment="1">
      <x:alignment horizontal="right" vertical="center"/>
    </x:xf>
    <x:xf numFmtId="202" fontId="10" fillId="0" borderId="15" xfId="0" applyNumberFormat="1" applyFont="1" applyFill="1" applyBorder="1" applyAlignment="1">
      <x:alignment horizontal="right" vertical="center"/>
    </x:xf>
    <x:xf numFmtId="0" fontId="4" fillId="8" borderId="13" xfId="0" applyNumberFormat="1" applyFont="1" applyFill="1" applyBorder="1" applyAlignment="1">
      <x:alignment horizontal="left" vertical="center"/>
    </x:xf>
    <x:xf numFmtId="201" fontId="4" fillId="8" borderId="14" xfId="0" applyNumberFormat="1" applyFont="1" applyFill="1" applyBorder="1" applyAlignment="1">
      <x:alignment horizontal="right" vertical="center"/>
    </x:xf>
    <x:xf numFmtId="201" fontId="4" fillId="8" borderId="15" xfId="0" applyNumberFormat="1" applyFont="1" applyFill="1" applyBorder="1" applyAlignment="1">
      <x:alignment horizontal="right" vertical="center"/>
    </x:xf>
    <x:xf numFmtId="201" fontId="9" fillId="0" borderId="14" xfId="0" applyNumberFormat="1" applyFont="1" applyFill="1" applyBorder="1" applyAlignment="1">
      <x:alignment horizontal="right" vertical="center"/>
    </x:xf>
    <x:xf numFmtId="201" fontId="10" fillId="0" borderId="14" xfId="0" applyNumberFormat="1" applyFont="1" applyFill="1" applyBorder="1" applyAlignment="1">
      <x:alignment horizontal="right" vertical="center"/>
    </x:xf>
    <x:xf numFmtId="201" fontId="10" fillId="0" borderId="15" xfId="0" applyNumberFormat="1" applyFont="1" applyFill="1" applyBorder="1" applyAlignment="1">
      <x:alignment horizontal="right" vertical="center"/>
    </x:xf>
    <x:xf numFmtId="202" fontId="9" fillId="0" borderId="14" xfId="0" applyNumberFormat="1" applyFont="1" applyFill="1" applyBorder="1" applyAlignment="1">
      <x:alignment horizontal="right" vertical="center"/>
    </x:xf>
    <x:xf numFmtId="0" fontId="8" fillId="7" borderId="7" xfId="0" applyNumberFormat="1" applyFont="1" applyFill="1" applyBorder="1" applyAlignment="1">
      <x:alignment horizontal="left" vertical="center"/>
    </x:xf>
    <x:xf numFmtId="202" fontId="9" fillId="7" borderId="8" xfId="0" applyNumberFormat="1" applyFont="1" applyFill="1" applyBorder="1" applyAlignment="1">
      <x:alignment horizontal="right" vertical="center"/>
    </x:xf>
    <x:xf numFmtId="202" fontId="10" fillId="7" borderId="8" xfId="0" applyNumberFormat="1" applyFont="1" applyFill="1" applyBorder="1" applyAlignment="1">
      <x:alignment horizontal="right" vertical="center"/>
    </x:xf>
    <x:xf numFmtId="202" fontId="10" fillId="7" borderId="9" xfId="0" applyNumberFormat="1" applyFont="1" applyFill="1" applyBorder="1" applyAlignment="1">
      <x:alignment horizontal="right" vertical="center"/>
    </x:xf>
    <x:xf numFmtId="0" fontId="8" fillId="7" borderId="13" xfId="0" applyNumberFormat="1" applyFont="1" applyFill="1" applyBorder="1" applyAlignment="1">
      <x:alignment horizontal="left" vertical="center"/>
    </x:xf>
    <x:xf numFmtId="202" fontId="9" fillId="7" borderId="14" xfId="0" applyNumberFormat="1" applyFont="1" applyFill="1" applyBorder="1" applyAlignment="1">
      <x:alignment horizontal="right" vertical="center"/>
    </x:xf>
    <x:xf numFmtId="202" fontId="10" fillId="7" borderId="14" xfId="0" applyNumberFormat="1" applyFont="1" applyFill="1" applyBorder="1" applyAlignment="1">
      <x:alignment horizontal="right" vertical="center"/>
    </x:xf>
    <x:xf numFmtId="202" fontId="10" fillId="7" borderId="15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/>
    <x:xf numFmtId="0" fontId="4" fillId="0" borderId="13" xfId="0" applyNumberFormat="1" applyFont="1" applyFill="1" applyBorder="1"/>
    <x:xf numFmtId="0" fontId="3" fillId="0" borderId="7" xfId="0" applyNumberFormat="1" applyFont="1" applyFill="1" applyBorder="1"/>
    <x:xf numFmtId="0" fontId="3" fillId="0" borderId="13" xfId="0" applyNumberFormat="1" applyFont="1" applyFill="1" applyBorder="1"/>
    <x:xf numFmtId="0" fontId="0" fillId="0" borderId="7" xfId="0" applyNumberFormat="1" applyFont="1" applyFill="1" applyBorder="1"/>
    <x:xf numFmtId="0" fontId="0" fillId="0" borderId="13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/>
    </x:xf>
    <x:xf numFmtId="0" fontId="11" fillId="3" borderId="1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1" xfId="0" applyNumberFormat="1" applyFont="1" applyFill="1" applyBorder="1" applyAlignment="1">
      <x:alignment vertical="center" wrapText="1"/>
    </x:xf>
    <x:xf numFmtId="200" fontId="9" fillId="7" borderId="8" xfId="0" applyNumberFormat="1" applyFont="1" applyFill="1" applyBorder="1" applyAlignment="1">
      <x:alignment horizontal="right" vertical="center"/>
    </x:xf>
    <x:xf numFmtId="200" fontId="10" fillId="7" borderId="8" xfId="0" applyNumberFormat="1" applyFont="1" applyFill="1" applyBorder="1" applyAlignment="1">
      <x:alignment horizontal="right" vertical="center"/>
    </x:xf>
    <x:xf numFmtId="200" fontId="10" fillId="7" borderId="9" xfId="0" applyNumberFormat="1" applyFont="1" applyFill="1" applyBorder="1" applyAlignment="1">
      <x:alignment horizontal="right" vertical="center"/>
    </x:xf>
    <x:xf numFmtId="200" fontId="9" fillId="7" borderId="14" xfId="0" applyNumberFormat="1" applyFont="1" applyFill="1" applyBorder="1" applyAlignment="1">
      <x:alignment horizontal="right" vertical="center"/>
    </x:xf>
    <x:xf numFmtId="200" fontId="10" fillId="7" borderId="14" xfId="0" applyNumberFormat="1" applyFont="1" applyFill="1" applyBorder="1" applyAlignment="1">
      <x:alignment horizontal="right" vertical="center"/>
    </x:xf>
    <x:xf numFmtId="200" fontId="10" fillId="7" borderId="15" xfId="0" applyNumberFormat="1" applyFont="1" applyFill="1" applyBorder="1" applyAlignment="1">
      <x:alignment horizontal="right" vertical="center"/>
    </x:xf>
    <x:xf numFmtId="0" fontId="4" fillId="7" borderId="24" xfId="0" applyNumberFormat="1" applyFont="1" applyFill="1" applyBorder="1" applyAlignment="1">
      <x:alignment horizontal="left" vertical="center"/>
    </x:xf>
    <x:xf numFmtId="200" fontId="4" fillId="7" borderId="25" xfId="0" applyNumberFormat="1" applyFont="1" applyFill="1" applyBorder="1" applyAlignment="1">
      <x:alignment horizontal="right" vertical="center"/>
    </x:xf>
    <x:xf numFmtId="200" fontId="4" fillId="7" borderId="26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362736406749f4" /><Relationship Type="http://schemas.openxmlformats.org/officeDocument/2006/relationships/theme" Target="/xl/theme/theme1.xml" Id="R78fd3bbb67d8428f" /><Relationship Type="http://schemas.openxmlformats.org/officeDocument/2006/relationships/sharedStrings" Target="/xl/sharedStrings.xml" Id="R1f88e601307a4487" /><Relationship Type="http://schemas.openxmlformats.org/officeDocument/2006/relationships/worksheet" Target="/xl/worksheets/sheet1.xml" Id="Rcef6d805f82d4532" /><Relationship Type="http://schemas.openxmlformats.org/officeDocument/2006/relationships/worksheet" Target="/xl/worksheets/sheet2.xml" Id="Rd38dd8f7a19b4896" /><Relationship Type="http://schemas.openxmlformats.org/officeDocument/2006/relationships/worksheet" Target="/xl/worksheets/sheet3.xml" Id="Rf9a8c8366e5b4417" /><Relationship Type="http://schemas.openxmlformats.org/officeDocument/2006/relationships/worksheet" Target="/xl/worksheets/sheet4.xml" Id="Raa2b66519da54126" /><Relationship Type="http://schemas.openxmlformats.org/officeDocument/2006/relationships/worksheet" Target="/xl/worksheets/sheet5.xml" Id="Reb010aa63fa44563" /><Relationship Type="http://schemas.openxmlformats.org/officeDocument/2006/relationships/worksheet" Target="/xl/worksheets/sheet6.xml" Id="R3335c4aa591448f5" /><Relationship Type="http://schemas.openxmlformats.org/officeDocument/2006/relationships/worksheet" Target="/xl/worksheets/sheet7.xml" Id="R3f93641e934b4494" /><Relationship Type="http://schemas.openxmlformats.org/officeDocument/2006/relationships/worksheet" Target="/xl/worksheets/sheet8.xml" Id="R53230da178f64076" /><Relationship Type="http://schemas.openxmlformats.org/officeDocument/2006/relationships/worksheet" Target="/xl/worksheets/sheet9.xml" Id="R88852bd997be4051" /><Relationship Type="http://schemas.openxmlformats.org/officeDocument/2006/relationships/worksheet" Target="/xl/worksheets/sheet10.xml" Id="R00ee591b99bb4b1f" /><Relationship Type="http://schemas.openxmlformats.org/officeDocument/2006/relationships/worksheet" Target="/xl/worksheets/sheet11.xml" Id="Rea3e13fae89940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 ht="25" customHeight="1">
      <x:c r="A1" s="5" t="str">
        <x:v>PRIVATE BANKING — COMPARABLE COMPANY ANALYSIS</x:v>
      </x:c>
      <x:c r="B1" s="5"/>
      <x:c r="C1" s="5"/>
      <x:c r="D1" s="5"/>
      <x:c r="E1" s="5"/>
      <x:c r="F1" s="5"/>
      <x:c r="G1" s="5"/>
      <x:c r="H1" s="5"/>
      <x:c r="I1" s="254"/>
      <x:c r="J1" s="254"/>
      <x:c r="K1" s="254"/>
    </x:row>
    <x:row r="2" ht="22" customHeight="1">
      <x:c r="A2" s="13" t="str">
        <x:v>Banking CCA | Primary: P/TBV &amp; P/B | Secondary: P/E | Tangible-book bridge included</x:v>
      </x:c>
      <x:c r="B2" s="13"/>
      <x:c r="C2" s="13"/>
      <x:c r="D2" s="13"/>
      <x:c r="E2" s="13"/>
      <x:c r="F2" s="13"/>
      <x:c r="G2" s="13"/>
      <x:c r="H2" s="13"/>
      <x:c r="I2" s="254"/>
      <x:c r="J2" s="254"/>
      <x:c r="K2" s="254"/>
    </x:row>
    <x:row r="3">
      <x:c r="A3" s="255" t="str">
        <x:v>Peer Set</x:v>
      </x:c>
      <x:c r="B3" s="256" t="str">
        <x:v>Axis Bank | HDFC Bank | ICICI Bank | Kotak Mahindra Bank | Federal Bank</x:v>
      </x:c>
      <x:c r="C3" s="254"/>
      <x:c r="D3" s="254"/>
      <x:c r="E3" s="254"/>
      <x:c r="F3" s="254"/>
      <x:c r="G3" s="254"/>
      <x:c r="H3" s="254"/>
      <x:c r="I3" s="254"/>
      <x:c r="J3" s="254"/>
      <x:c r="K3" s="254"/>
    </x:row>
    <x:row r="4">
      <x:c r="A4" s="255" t="str">
        <x:v>Valuation Date</x:v>
      </x:c>
      <x:c r="B4" s="256" t="str">
        <x:v>18-Sep-2026</x:v>
      </x:c>
      <x:c r="C4" s="254"/>
      <x:c r="D4" s="254"/>
      <x:c r="E4" s="254"/>
      <x:c r="F4" s="254"/>
      <x:c r="G4" s="254"/>
      <x:c r="H4" s="254"/>
      <x:c r="I4" s="254"/>
      <x:c r="J4" s="254"/>
      <x:c r="K4" s="254"/>
    </x:row>
    <x:row r="5">
      <x:c r="A5" s="255" t="str">
        <x:v>Balance Sheet Basis</x:v>
      </x:c>
      <x:c r="B5" s="256" t="str">
        <x:v>FY26 audited / standardized equity &amp; tangible-book data</x:v>
      </x:c>
      <x:c r="C5" s="254"/>
      <x:c r="D5" s="254"/>
      <x:c r="E5" s="254"/>
      <x:c r="F5" s="254"/>
      <x:c r="G5" s="254"/>
      <x:c r="H5" s="254"/>
      <x:c r="I5" s="254"/>
      <x:c r="J5" s="254"/>
      <x:c r="K5" s="254"/>
    </x:row>
    <x:row r="6">
      <x:c r="A6" s="255" t="str">
        <x:v>Operating Basis</x:v>
      </x:c>
      <x:c r="B6" s="256" t="str">
        <x:v>Q1 FY27</x:v>
      </x:c>
      <x:c r="C6" s="254"/>
      <x:c r="D6" s="254"/>
      <x:c r="E6" s="254"/>
      <x:c r="F6" s="254"/>
      <x:c r="G6" s="254"/>
      <x:c r="H6" s="254"/>
      <x:c r="I6" s="254"/>
      <x:c r="J6" s="254"/>
      <x:c r="K6" s="254"/>
    </x:row>
    <x:row r="7">
      <x:c r="A7" s="255" t="str">
        <x:v>Primary Multiples</x:v>
      </x:c>
      <x:c r="B7" s="256" t="str">
        <x:v>P/TBV and P/B</x:v>
      </x:c>
      <x:c r="C7" s="254"/>
      <x:c r="D7" s="254"/>
      <x:c r="E7" s="254"/>
      <x:c r="F7" s="254"/>
      <x:c r="G7" s="254"/>
      <x:c r="H7" s="254"/>
      <x:c r="I7" s="254"/>
      <x:c r="J7" s="254"/>
      <x:c r="K7" s="254"/>
    </x:row>
    <x:row r="8">
      <x:c r="A8" s="255" t="str">
        <x:v>Secondary Multiple</x:v>
      </x:c>
      <x:c r="B8" s="256" t="str">
        <x:v>P/E</x:v>
      </x:c>
      <x:c r="C8" s="254"/>
      <x:c r="D8" s="254"/>
      <x:c r="E8" s="254"/>
      <x:c r="F8" s="254"/>
      <x:c r="G8" s="254"/>
      <x:c r="H8" s="254"/>
      <x:c r="I8" s="254"/>
      <x:c r="J8" s="254"/>
      <x:c r="K8" s="254"/>
    </x:row>
    <x:row r="9">
      <x:c r="A9" s="255" t="str">
        <x:v>Tangible Book</x:v>
      </x:c>
      <x:c r="B9" s="256" t="str">
        <x:v>Common Equity − Goodwill − Other Intangible Assets = Tangible Common Equity</x:v>
      </x:c>
      <x:c r="C9" s="254"/>
      <x:c r="D9" s="254"/>
      <x:c r="E9" s="254"/>
      <x:c r="F9" s="254"/>
      <x:c r="G9" s="254"/>
      <x:c r="H9" s="254"/>
      <x:c r="I9" s="254"/>
      <x:c r="J9" s="254"/>
      <x:c r="K9" s="254"/>
    </x:row>
    <x:row r="10">
      <x:c r="A10" s="255" t="str">
        <x:v>Per Share Outputs</x:v>
      </x:c>
      <x:c r="B10" s="256" t="str">
        <x:v>BVPS and TBVPS</x:v>
      </x:c>
      <x:c r="C10" s="254"/>
      <x:c r="D10" s="254"/>
      <x:c r="E10" s="254"/>
      <x:c r="F10" s="254"/>
      <x:c r="G10" s="254"/>
      <x:c r="H10" s="254"/>
      <x:c r="I10" s="254"/>
      <x:c r="J10" s="254"/>
      <x:c r="K10" s="254"/>
    </x:row>
    <x:row r="11">
      <x:c r="A11" s="255" t="str">
        <x:v>Relative Valuation</x:v>
      </x:c>
      <x:c r="B11" s="256" t="str">
        <x:v>Peer median excluding target → implied price and upside / downside</x:v>
      </x:c>
      <x:c r="C11" s="254"/>
      <x:c r="D11" s="254"/>
      <x:c r="E11" s="254"/>
      <x:c r="F11" s="254"/>
      <x:c r="G11" s="254"/>
      <x:c r="H11" s="254"/>
      <x:c r="I11" s="254"/>
      <x:c r="J11" s="254"/>
      <x:c r="K11" s="254"/>
    </x:row>
    <x:row r="12">
      <x:c r="A12" s="255" t="str">
        <x:v>Page Structure</x:v>
      </x:c>
      <x:c r="B12" s="256" t="str">
        <x:v>Valuation &amp; Tangible | Operating | Relative Valuation | Secondary</x:v>
      </x:c>
      <x:c r="C12" s="254"/>
      <x:c r="D12" s="254"/>
      <x:c r="E12" s="254"/>
      <x:c r="F12" s="254"/>
      <x:c r="G12" s="254"/>
      <x:c r="H12" s="254"/>
      <x:c r="I12" s="254"/>
      <x:c r="J12" s="254"/>
      <x:c r="K12" s="254"/>
    </x:row>
    <x:row r="13">
      <x:c r="A13" s="255" t="str">
        <x:v>Raw Data</x:v>
      </x:c>
      <x:c r="B13" s="256" t="str">
        <x:v>One consolidated page at the end; each bank appears once</x:v>
      </x:c>
      <x:c r="C13" s="254"/>
      <x:c r="D13" s="254"/>
      <x:c r="E13" s="254"/>
      <x:c r="F13" s="254"/>
      <x:c r="G13" s="254"/>
      <x:c r="H13" s="254"/>
      <x:c r="I13" s="254"/>
      <x:c r="J13" s="254"/>
      <x:c r="K13" s="254"/>
    </x:row>
    <x:row r="14">
      <x:c r="A14" s="255" t="str">
        <x:v>Purpose</x:v>
      </x:c>
      <x:c r="B14" s="256" t="str">
        <x:v>Analyst workpaper / equity-research CCA</x:v>
      </x:c>
      <x:c r="C14" s="254"/>
      <x:c r="D14" s="254"/>
      <x:c r="E14" s="254"/>
      <x:c r="F14" s="254"/>
      <x:c r="G14" s="254"/>
      <x:c r="H14" s="254"/>
      <x:c r="I14" s="254"/>
      <x:c r="J14" s="254"/>
      <x:c r="K14" s="254"/>
    </x:row>
    <x:row r="15">
      <x:c r="A15" s="254"/>
      <x:c r="B15" s="254"/>
      <x:c r="C15" s="254"/>
      <x:c r="D15" s="254"/>
      <x:c r="E15" s="254"/>
      <x:c r="F15" s="254"/>
      <x:c r="G15" s="254"/>
      <x:c r="H15" s="254"/>
      <x:c r="I15" s="254"/>
      <x:c r="J15" s="254"/>
      <x:c r="K15" s="254"/>
    </x:row>
    <x:row r="16">
      <x:c r="A16" s="254"/>
      <x:c r="B16" s="254"/>
      <x:c r="C16" s="254"/>
      <x:c r="D16" s="254"/>
      <x:c r="E16" s="254"/>
      <x:c r="F16" s="254"/>
      <x:c r="G16" s="254"/>
      <x:c r="H16" s="254"/>
      <x:c r="I16" s="254"/>
      <x:c r="J16" s="254"/>
      <x:c r="K16" s="254"/>
    </x:row>
    <x:row r="17">
      <x:c r="A17" s="254"/>
      <x:c r="B17" s="254"/>
      <x:c r="C17" s="254"/>
      <x:c r="D17" s="254"/>
      <x:c r="E17" s="254"/>
      <x:c r="F17" s="254"/>
      <x:c r="G17" s="254"/>
      <x:c r="H17" s="254"/>
      <x:c r="I17" s="254"/>
      <x:c r="J17" s="254"/>
      <x:c r="K17" s="254"/>
    </x:row>
    <x:row r="18">
      <x:c r="A18" s="254"/>
      <x:c r="B18" s="254"/>
      <x:c r="C18" s="254"/>
      <x:c r="D18" s="254"/>
      <x:c r="E18" s="254"/>
      <x:c r="F18" s="254"/>
      <x:c r="G18" s="254"/>
      <x:c r="H18" s="254"/>
      <x:c r="I18" s="254"/>
      <x:c r="J18" s="254"/>
      <x:c r="K18" s="254"/>
    </x:row>
    <x:row r="19">
      <x:c r="A19" s="254"/>
      <x:c r="B19" s="254"/>
      <x:c r="C19" s="254"/>
      <x:c r="D19" s="254"/>
      <x:c r="E19" s="254"/>
      <x:c r="F19" s="254"/>
      <x:c r="G19" s="254"/>
      <x:c r="H19" s="254"/>
      <x:c r="I19" s="254"/>
      <x:c r="J19" s="254"/>
      <x:c r="K19" s="254"/>
    </x:row>
    <x:row r="20">
      <x:c r="A20" s="254"/>
      <x:c r="B20" s="254"/>
      <x:c r="C20" s="254"/>
      <x:c r="D20" s="254"/>
      <x:c r="E20" s="254"/>
      <x:c r="F20" s="254"/>
      <x:c r="G20" s="254"/>
      <x:c r="H20" s="254"/>
      <x:c r="I20" s="254"/>
      <x:c r="J20" s="254"/>
      <x:c r="K20" s="254"/>
    </x:row>
    <x:row r="21">
      <x:c r="A21" s="254"/>
      <x:c r="B21" s="254"/>
      <x:c r="C21" s="254"/>
      <x:c r="D21" s="254"/>
      <x:c r="E21" s="254"/>
      <x:c r="F21" s="254"/>
      <x:c r="G21" s="254"/>
      <x:c r="H21" s="254"/>
      <x:c r="I21" s="254"/>
      <x:c r="J21" s="254"/>
      <x:c r="K21" s="254"/>
    </x:row>
    <x:row r="22">
      <x:c r="A22" s="254"/>
      <x:c r="B22" s="254"/>
      <x:c r="C22" s="254"/>
      <x:c r="D22" s="254"/>
      <x:c r="E22" s="254"/>
      <x:c r="F22" s="254"/>
      <x:c r="G22" s="254"/>
      <x:c r="H22" s="254"/>
      <x:c r="I22" s="254"/>
      <x:c r="J22" s="254"/>
      <x:c r="K22" s="254"/>
    </x:row>
    <x:row r="23">
      <x:c r="A23" s="254"/>
      <x:c r="B23" s="254"/>
      <x:c r="C23" s="254"/>
      <x:c r="D23" s="254"/>
      <x:c r="E23" s="254"/>
      <x:c r="F23" s="254"/>
      <x:c r="G23" s="254"/>
      <x:c r="H23" s="254"/>
      <x:c r="I23" s="254"/>
      <x:c r="J23" s="254"/>
      <x:c r="K23" s="254"/>
    </x:row>
    <x:row r="24">
      <x:c r="A24" s="254"/>
      <x:c r="B24" s="254"/>
      <x:c r="C24" s="254"/>
      <x:c r="D24" s="254"/>
      <x:c r="E24" s="254"/>
      <x:c r="F24" s="254"/>
      <x:c r="G24" s="254"/>
      <x:c r="H24" s="254"/>
      <x:c r="I24" s="254"/>
      <x:c r="J24" s="254"/>
      <x:c r="K24" s="254"/>
    </x:row>
    <x:row r="25">
      <x:c r="A25" s="254"/>
      <x:c r="B25" s="254"/>
      <x:c r="C25" s="254"/>
      <x:c r="D25" s="254"/>
      <x:c r="E25" s="254"/>
      <x:c r="F25" s="254"/>
      <x:c r="G25" s="254"/>
      <x:c r="H25" s="254"/>
      <x:c r="I25" s="254"/>
      <x:c r="J25" s="254"/>
      <x:c r="K25" s="254"/>
    </x:row>
    <x:row r="26">
      <x:c r="A26" s="254"/>
      <x:c r="B26" s="254"/>
      <x:c r="C26" s="254"/>
      <x:c r="D26" s="254"/>
      <x:c r="E26" s="254"/>
      <x:c r="F26" s="254"/>
      <x:c r="G26" s="254"/>
      <x:c r="H26" s="254"/>
      <x:c r="I26" s="254"/>
      <x:c r="J26" s="254"/>
      <x:c r="K26" s="254"/>
    </x:row>
    <x:row r="27">
      <x:c r="A27" s="254"/>
      <x:c r="B27" s="254"/>
      <x:c r="C27" s="254"/>
      <x:c r="D27" s="254"/>
      <x:c r="E27" s="254"/>
      <x:c r="F27" s="254"/>
      <x:c r="G27" s="254"/>
      <x:c r="H27" s="254"/>
      <x:c r="I27" s="254"/>
      <x:c r="J27" s="254"/>
      <x:c r="K27" s="254"/>
    </x:row>
    <x:row r="28">
      <x:c r="A28" s="254"/>
      <x:c r="B28" s="254"/>
      <x:c r="C28" s="254"/>
      <x:c r="D28" s="254"/>
      <x:c r="E28" s="254"/>
      <x:c r="F28" s="254"/>
      <x:c r="G28" s="254"/>
      <x:c r="H28" s="254"/>
      <x:c r="I28" s="254"/>
      <x:c r="J28" s="254"/>
      <x:c r="K28" s="254"/>
    </x:row>
    <x:row r="29">
      <x:c r="A29" s="254"/>
      <x:c r="B29" s="254"/>
      <x:c r="C29" s="254"/>
      <x:c r="D29" s="254"/>
      <x:c r="E29" s="254"/>
      <x:c r="F29" s="254"/>
      <x:c r="G29" s="254"/>
      <x:c r="H29" s="254"/>
      <x:c r="I29" s="254"/>
      <x:c r="J29" s="254"/>
      <x:c r="K29" s="254"/>
    </x:row>
    <x:row r="30">
      <x:c r="A30" s="254"/>
      <x:c r="B30" s="254"/>
      <x:c r="C30" s="254"/>
      <x:c r="D30" s="254"/>
      <x:c r="E30" s="254"/>
      <x:c r="F30" s="254"/>
      <x:c r="G30" s="254"/>
      <x:c r="H30" s="254"/>
      <x:c r="I30" s="254"/>
      <x:c r="J30" s="254"/>
      <x:c r="K30" s="254"/>
    </x:row>
    <x:row r="31">
      <x:c r="A31" s="254"/>
      <x:c r="B31" s="254"/>
      <x:c r="C31" s="254"/>
      <x:c r="D31" s="254"/>
      <x:c r="E31" s="254"/>
      <x:c r="F31" s="254"/>
      <x:c r="G31" s="254"/>
      <x:c r="H31" s="254"/>
      <x:c r="I31" s="254"/>
      <x:c r="J31" s="254"/>
      <x:c r="K31" s="254"/>
    </x:row>
    <x:row r="32">
      <x:c r="A32" s="254"/>
      <x:c r="B32" s="254"/>
      <x:c r="C32" s="254"/>
      <x:c r="D32" s="254"/>
      <x:c r="E32" s="254"/>
      <x:c r="F32" s="254"/>
      <x:c r="G32" s="254"/>
      <x:c r="H32" s="254"/>
      <x:c r="I32" s="254"/>
      <x:c r="J32" s="254"/>
      <x:c r="K32" s="254"/>
    </x:row>
    <x:row r="33">
      <x:c r="A33" s="254"/>
      <x:c r="B33" s="254"/>
      <x:c r="C33" s="254"/>
      <x:c r="D33" s="254"/>
      <x:c r="E33" s="254"/>
      <x:c r="F33" s="254"/>
      <x:c r="G33" s="254"/>
      <x:c r="H33" s="254"/>
      <x:c r="I33" s="254"/>
      <x:c r="J33" s="254"/>
      <x:c r="K33" s="254"/>
    </x:row>
    <x:row r="34">
      <x:c r="A34" s="254"/>
      <x:c r="B34" s="254"/>
      <x:c r="C34" s="254"/>
      <x:c r="D34" s="254"/>
      <x:c r="E34" s="254"/>
      <x:c r="F34" s="254"/>
      <x:c r="G34" s="254"/>
      <x:c r="H34" s="254"/>
      <x:c r="I34" s="254"/>
      <x:c r="J34" s="254"/>
      <x:c r="K34" s="254"/>
    </x:row>
    <x:row r="35">
      <x:c r="A35" s="254"/>
      <x:c r="B35" s="254"/>
      <x:c r="C35" s="254"/>
      <x:c r="D35" s="254"/>
      <x:c r="E35" s="254"/>
      <x:c r="F35" s="254"/>
      <x:c r="G35" s="254"/>
      <x:c r="H35" s="254"/>
      <x:c r="I35" s="254"/>
      <x:c r="J35" s="254"/>
      <x:c r="K35" s="254"/>
    </x:row>
    <x:row r="36">
      <x:c r="A36" s="254"/>
      <x:c r="B36" s="254"/>
      <x:c r="C36" s="254"/>
      <x:c r="D36" s="254"/>
      <x:c r="E36" s="254"/>
      <x:c r="F36" s="254"/>
      <x:c r="G36" s="254"/>
      <x:c r="H36" s="254"/>
      <x:c r="I36" s="254"/>
      <x:c r="J36" s="254"/>
      <x:c r="K36" s="254"/>
    </x:row>
    <x:row r="37">
      <x:c r="A37" s="254"/>
      <x:c r="B37" s="254"/>
      <x:c r="C37" s="254"/>
      <x:c r="D37" s="254"/>
      <x:c r="E37" s="254"/>
      <x:c r="F37" s="254"/>
      <x:c r="G37" s="254"/>
      <x:c r="H37" s="254"/>
      <x:c r="I37" s="254"/>
      <x:c r="J37" s="254"/>
      <x:c r="K37" s="254"/>
    </x:row>
    <x:row r="38">
      <x:c r="A38" s="254"/>
      <x:c r="B38" s="254"/>
      <x:c r="C38" s="254"/>
      <x:c r="D38" s="254"/>
      <x:c r="E38" s="254"/>
      <x:c r="F38" s="254"/>
      <x:c r="G38" s="254"/>
      <x:c r="H38" s="254"/>
      <x:c r="I38" s="254"/>
      <x:c r="J38" s="254"/>
      <x:c r="K38" s="254"/>
    </x:row>
    <x:row r="39">
      <x:c r="A39" s="254"/>
      <x:c r="B39" s="254"/>
      <x:c r="C39" s="254"/>
      <x:c r="D39" s="254"/>
      <x:c r="E39" s="254"/>
      <x:c r="F39" s="254"/>
      <x:c r="G39" s="254"/>
      <x:c r="H39" s="254"/>
      <x:c r="I39" s="254"/>
      <x:c r="J39" s="254"/>
      <x:c r="K39" s="254"/>
    </x:row>
    <x:row r="40">
      <x:c r="A40" s="254"/>
      <x:c r="B40" s="254"/>
      <x:c r="C40" s="254"/>
      <x:c r="D40" s="254"/>
      <x:c r="E40" s="254"/>
      <x:c r="F40" s="254"/>
      <x:c r="G40" s="254"/>
      <x:c r="H40" s="254"/>
      <x:c r="I40" s="254"/>
      <x:c r="J40" s="254"/>
      <x:c r="K40" s="254"/>
    </x:row>
    <x:row r="41">
      <x:c r="A41" s="254"/>
      <x:c r="B41" s="254"/>
      <x:c r="C41" s="254"/>
      <x:c r="D41" s="254"/>
      <x:c r="E41" s="254"/>
      <x:c r="F41" s="254"/>
      <x:c r="G41" s="254"/>
      <x:c r="H41" s="254"/>
      <x:c r="I41" s="254"/>
      <x:c r="J41" s="254"/>
      <x:c r="K41" s="254"/>
    </x:row>
    <x:row r="42">
      <x:c r="A42" s="254"/>
      <x:c r="B42" s="254"/>
      <x:c r="C42" s="254"/>
      <x:c r="D42" s="254"/>
      <x:c r="E42" s="254"/>
      <x:c r="F42" s="254"/>
      <x:c r="G42" s="254"/>
      <x:c r="H42" s="254"/>
      <x:c r="I42" s="254"/>
      <x:c r="J42" s="254"/>
      <x:c r="K42" s="254"/>
    </x:row>
    <x:row r="43">
      <x:c r="A43" s="254"/>
      <x:c r="B43" s="254"/>
      <x:c r="C43" s="254"/>
      <x:c r="D43" s="254"/>
      <x:c r="E43" s="254"/>
      <x:c r="F43" s="254"/>
      <x:c r="G43" s="254"/>
      <x:c r="H43" s="254"/>
      <x:c r="I43" s="254"/>
      <x:c r="J43" s="254"/>
      <x:c r="K43" s="254"/>
    </x:row>
    <x:row r="44">
      <x:c r="A44" s="254"/>
      <x:c r="B44" s="254"/>
      <x:c r="C44" s="254"/>
      <x:c r="D44" s="254"/>
      <x:c r="E44" s="254"/>
      <x:c r="F44" s="254"/>
      <x:c r="G44" s="254"/>
      <x:c r="H44" s="254"/>
      <x:c r="I44" s="254"/>
      <x:c r="J44" s="254"/>
      <x:c r="K44" s="254"/>
    </x:row>
    <x:row r="45">
      <x:c r="A45" s="254"/>
      <x:c r="B45" s="254"/>
      <x:c r="C45" s="254"/>
      <x:c r="D45" s="254"/>
      <x:c r="E45" s="254"/>
      <x:c r="F45" s="254"/>
      <x:c r="G45" s="254"/>
      <x:c r="H45" s="254"/>
      <x:c r="I45" s="254"/>
      <x:c r="J45" s="254"/>
      <x:c r="K45" s="254"/>
    </x:row>
    <x:row r="46">
      <x:c r="A46" s="254"/>
      <x:c r="B46" s="254"/>
      <x:c r="C46" s="254"/>
      <x:c r="D46" s="254"/>
      <x:c r="E46" s="254"/>
      <x:c r="F46" s="254"/>
      <x:c r="G46" s="254"/>
      <x:c r="H46" s="254"/>
      <x:c r="I46" s="254"/>
      <x:c r="J46" s="254"/>
      <x:c r="K46" s="254"/>
    </x:row>
    <x:row r="47">
      <x:c r="A47" s="254"/>
      <x:c r="B47" s="254"/>
      <x:c r="C47" s="254"/>
      <x:c r="D47" s="254"/>
      <x:c r="E47" s="254"/>
      <x:c r="F47" s="254"/>
      <x:c r="G47" s="254"/>
      <x:c r="H47" s="254"/>
      <x:c r="I47" s="254"/>
      <x:c r="J47" s="254"/>
      <x:c r="K47" s="254"/>
    </x:row>
    <x:row r="48">
      <x:c r="A48" s="254"/>
      <x:c r="B48" s="254"/>
      <x:c r="C48" s="254"/>
      <x:c r="D48" s="254"/>
      <x:c r="E48" s="254"/>
      <x:c r="F48" s="254"/>
      <x:c r="G48" s="254"/>
      <x:c r="H48" s="254"/>
      <x:c r="I48" s="254"/>
      <x:c r="J48" s="254"/>
      <x:c r="K48" s="254"/>
    </x:row>
    <x:row r="49">
      <x:c r="A49" s="254"/>
      <x:c r="B49" s="254"/>
      <x:c r="C49" s="254"/>
      <x:c r="D49" s="254"/>
      <x:c r="E49" s="254"/>
      <x:c r="F49" s="254"/>
      <x:c r="G49" s="254"/>
      <x:c r="H49" s="254"/>
      <x:c r="I49" s="254"/>
      <x:c r="J49" s="254"/>
      <x:c r="K49" s="254"/>
    </x:row>
    <x:row r="50">
      <x:c r="A50" s="254"/>
      <x:c r="B50" s="254"/>
      <x:c r="C50" s="254"/>
      <x:c r="D50" s="254"/>
      <x:c r="E50" s="254"/>
      <x:c r="F50" s="254"/>
      <x:c r="G50" s="254"/>
      <x:c r="H50" s="254"/>
      <x:c r="I50" s="254"/>
      <x:c r="J50" s="254"/>
      <x:c r="K50" s="254"/>
    </x:row>
    <x:row r="51">
      <x:c r="A51" s="254"/>
      <x:c r="B51" s="254"/>
      <x:c r="C51" s="254"/>
      <x:c r="D51" s="254"/>
      <x:c r="E51" s="254"/>
      <x:c r="F51" s="254"/>
      <x:c r="G51" s="254"/>
      <x:c r="H51" s="254"/>
      <x:c r="I51" s="254"/>
      <x:c r="J51" s="254"/>
      <x:c r="K51" s="254"/>
    </x:row>
    <x:row r="52">
      <x:c r="A52" s="254"/>
      <x:c r="B52" s="254"/>
      <x:c r="C52" s="254"/>
      <x:c r="D52" s="254"/>
      <x:c r="E52" s="254"/>
      <x:c r="F52" s="254"/>
      <x:c r="G52" s="254"/>
      <x:c r="H52" s="254"/>
      <x:c r="I52" s="254"/>
      <x:c r="J52" s="254"/>
      <x:c r="K52" s="254"/>
    </x:row>
    <x:row r="53">
      <x:c r="A53" s="254"/>
      <x:c r="B53" s="254"/>
      <x:c r="C53" s="254"/>
      <x:c r="D53" s="254"/>
      <x:c r="E53" s="254"/>
      <x:c r="F53" s="254"/>
      <x:c r="G53" s="254"/>
      <x:c r="H53" s="254"/>
      <x:c r="I53" s="254"/>
      <x:c r="J53" s="254"/>
      <x:c r="K53" s="254"/>
    </x:row>
    <x:row r="54">
      <x:c r="A54" s="254"/>
      <x:c r="B54" s="254"/>
      <x:c r="C54" s="254"/>
      <x:c r="D54" s="254"/>
      <x:c r="E54" s="254"/>
      <x:c r="F54" s="254"/>
      <x:c r="G54" s="254"/>
      <x:c r="H54" s="254"/>
      <x:c r="I54" s="254"/>
      <x:c r="J54" s="254"/>
      <x:c r="K54" s="254"/>
    </x:row>
    <x:row r="55">
      <x:c r="A55" s="254"/>
      <x:c r="B55" s="254"/>
      <x:c r="C55" s="254"/>
      <x:c r="D55" s="254"/>
      <x:c r="E55" s="254"/>
      <x:c r="F55" s="254"/>
      <x:c r="G55" s="254"/>
      <x:c r="H55" s="254"/>
      <x:c r="I55" s="254"/>
      <x:c r="J55" s="254"/>
      <x:c r="K55" s="254"/>
    </x:row>
    <x:row r="56">
      <x:c r="A56" s="254"/>
      <x:c r="B56" s="254"/>
      <x:c r="C56" s="254"/>
      <x:c r="D56" s="254"/>
      <x:c r="E56" s="254"/>
      <x:c r="F56" s="254"/>
      <x:c r="G56" s="254"/>
      <x:c r="H56" s="254"/>
      <x:c r="I56" s="254"/>
      <x:c r="J56" s="254"/>
      <x:c r="K56" s="254"/>
    </x:row>
    <x:row r="57">
      <x:c r="A57" s="254"/>
      <x:c r="B57" s="254"/>
      <x:c r="C57" s="254"/>
      <x:c r="D57" s="254"/>
      <x:c r="E57" s="254"/>
      <x:c r="F57" s="254"/>
      <x:c r="G57" s="254"/>
      <x:c r="H57" s="254"/>
      <x:c r="I57" s="254"/>
      <x:c r="J57" s="254"/>
      <x:c r="K57" s="254"/>
    </x:row>
    <x:row r="58">
      <x:c r="A58" s="254"/>
      <x:c r="B58" s="254"/>
      <x:c r="C58" s="254"/>
      <x:c r="D58" s="254"/>
      <x:c r="E58" s="254"/>
      <x:c r="F58" s="254"/>
      <x:c r="G58" s="254"/>
      <x:c r="H58" s="254"/>
      <x:c r="I58" s="254"/>
      <x:c r="J58" s="254"/>
      <x:c r="K58" s="254"/>
    </x:row>
    <x:row r="59">
      <x:c r="A59" s="254"/>
      <x:c r="B59" s="254"/>
      <x:c r="C59" s="254"/>
      <x:c r="D59" s="254"/>
      <x:c r="E59" s="254"/>
      <x:c r="F59" s="254"/>
      <x:c r="G59" s="254"/>
      <x:c r="H59" s="254"/>
      <x:c r="I59" s="254"/>
      <x:c r="J59" s="254"/>
      <x:c r="K59" s="254"/>
    </x:row>
    <x:row r="60">
      <x:c r="A60" s="254"/>
      <x:c r="B60" s="254"/>
      <x:c r="C60" s="254"/>
      <x:c r="D60" s="254"/>
      <x:c r="E60" s="254"/>
      <x:c r="F60" s="254"/>
      <x:c r="G60" s="254"/>
      <x:c r="H60" s="254"/>
      <x:c r="I60" s="254"/>
      <x:c r="J60" s="254"/>
      <x:c r="K60" s="254"/>
    </x:row>
    <x:row r="61">
      <x:c r="A61" s="254"/>
      <x:c r="B61" s="254"/>
      <x:c r="C61" s="254"/>
      <x:c r="D61" s="254"/>
      <x:c r="E61" s="254"/>
      <x:c r="F61" s="254"/>
      <x:c r="G61" s="254"/>
      <x:c r="H61" s="254"/>
      <x:c r="I61" s="254"/>
      <x:c r="J61" s="254"/>
      <x:c r="K61" s="254"/>
    </x:row>
    <x:row r="62">
      <x:c r="A62" s="254"/>
      <x:c r="B62" s="254"/>
      <x:c r="C62" s="254"/>
      <x:c r="D62" s="254"/>
      <x:c r="E62" s="254"/>
      <x:c r="F62" s="254"/>
      <x:c r="G62" s="254"/>
      <x:c r="H62" s="254"/>
      <x:c r="I62" s="254"/>
      <x:c r="J62" s="254"/>
      <x:c r="K62" s="254"/>
    </x:row>
    <x:row r="63">
      <x:c r="A63" s="254"/>
      <x:c r="B63" s="254"/>
      <x:c r="C63" s="254"/>
      <x:c r="D63" s="254"/>
      <x:c r="E63" s="254"/>
      <x:c r="F63" s="254"/>
      <x:c r="G63" s="254"/>
      <x:c r="H63" s="254"/>
      <x:c r="I63" s="254"/>
      <x:c r="J63" s="254"/>
      <x:c r="K63" s="254"/>
    </x:row>
    <x:row r="64">
      <x:c r="A64" s="254"/>
      <x:c r="B64" s="254"/>
      <x:c r="C64" s="254"/>
      <x:c r="D64" s="254"/>
      <x:c r="E64" s="254"/>
      <x:c r="F64" s="254"/>
      <x:c r="G64" s="254"/>
      <x:c r="H64" s="254"/>
      <x:c r="I64" s="254"/>
      <x:c r="J64" s="254"/>
      <x:c r="K64" s="254"/>
    </x:row>
    <x:row r="65">
      <x:c r="A65" s="254"/>
      <x:c r="B65" s="254"/>
      <x:c r="C65" s="254"/>
      <x:c r="D65" s="254"/>
      <x:c r="E65" s="254"/>
      <x:c r="F65" s="254"/>
      <x:c r="G65" s="254"/>
      <x:c r="H65" s="254"/>
      <x:c r="I65" s="254"/>
      <x:c r="J65" s="254"/>
      <x:c r="K65" s="254"/>
    </x:row>
    <x:row r="66">
      <x:c r="A66" s="254"/>
      <x:c r="B66" s="254"/>
      <x:c r="C66" s="254"/>
      <x:c r="D66" s="254"/>
      <x:c r="E66" s="254"/>
      <x:c r="F66" s="254"/>
      <x:c r="G66" s="254"/>
      <x:c r="H66" s="254"/>
      <x:c r="I66" s="254"/>
      <x:c r="J66" s="254"/>
      <x:c r="K66" s="254"/>
    </x:row>
    <x:row r="67">
      <x:c r="A67" s="254"/>
      <x:c r="B67" s="254"/>
      <x:c r="C67" s="254"/>
      <x:c r="D67" s="254"/>
      <x:c r="E67" s="254"/>
      <x:c r="F67" s="254"/>
      <x:c r="G67" s="254"/>
      <x:c r="H67" s="254"/>
      <x:c r="I67" s="254"/>
      <x:c r="J67" s="254"/>
      <x:c r="K67" s="254"/>
    </x:row>
    <x:row r="68">
      <x:c r="A68" s="254"/>
      <x:c r="B68" s="254"/>
      <x:c r="C68" s="254"/>
      <x:c r="D68" s="254"/>
      <x:c r="E68" s="254"/>
      <x:c r="F68" s="254"/>
      <x:c r="G68" s="254"/>
      <x:c r="H68" s="254"/>
      <x:c r="I68" s="254"/>
      <x:c r="J68" s="254"/>
      <x:c r="K68" s="254"/>
    </x:row>
    <x:row r="69">
      <x:c r="A69" s="254"/>
      <x:c r="B69" s="254"/>
      <x:c r="C69" s="254"/>
      <x:c r="D69" s="254"/>
      <x:c r="E69" s="254"/>
      <x:c r="F69" s="254"/>
      <x:c r="G69" s="254"/>
      <x:c r="H69" s="254"/>
      <x:c r="I69" s="254"/>
      <x:c r="J69" s="254"/>
      <x:c r="K69" s="254"/>
    </x:row>
    <x:row r="70">
      <x:c r="A70" s="254"/>
      <x:c r="B70" s="254"/>
      <x:c r="C70" s="254"/>
      <x:c r="D70" s="254"/>
      <x:c r="E70" s="254"/>
      <x:c r="F70" s="254"/>
      <x:c r="G70" s="254"/>
      <x:c r="H70" s="254"/>
      <x:c r="I70" s="254"/>
      <x:c r="J70" s="254"/>
      <x:c r="K70" s="254"/>
    </x:row>
    <x:row r="71">
      <x:c r="A71" s="254"/>
      <x:c r="B71" s="254"/>
      <x:c r="C71" s="254"/>
      <x:c r="D71" s="254"/>
      <x:c r="E71" s="254"/>
      <x:c r="F71" s="254"/>
      <x:c r="G71" s="254"/>
      <x:c r="H71" s="254"/>
      <x:c r="I71" s="254"/>
      <x:c r="J71" s="254"/>
      <x:c r="K71" s="254"/>
    </x:row>
    <x:row r="72">
      <x:c r="A72" s="254"/>
      <x:c r="B72" s="254"/>
      <x:c r="C72" s="254"/>
      <x:c r="D72" s="254"/>
      <x:c r="E72" s="254"/>
      <x:c r="F72" s="254"/>
      <x:c r="G72" s="254"/>
      <x:c r="H72" s="254"/>
      <x:c r="I72" s="254"/>
      <x:c r="J72" s="254"/>
      <x:c r="K72" s="254"/>
    </x:row>
    <x:row r="73">
      <x:c r="A73" s="254"/>
      <x:c r="B73" s="254"/>
      <x:c r="C73" s="254"/>
      <x:c r="D73" s="254"/>
      <x:c r="E73" s="254"/>
      <x:c r="F73" s="254"/>
      <x:c r="G73" s="254"/>
      <x:c r="H73" s="254"/>
      <x:c r="I73" s="254"/>
      <x:c r="J73" s="254"/>
      <x:c r="K73" s="254"/>
    </x:row>
    <x:row r="74">
      <x:c r="A74" s="254"/>
      <x:c r="B74" s="254"/>
      <x:c r="C74" s="254"/>
      <x:c r="D74" s="254"/>
      <x:c r="E74" s="254"/>
      <x:c r="F74" s="254"/>
      <x:c r="G74" s="254"/>
      <x:c r="H74" s="254"/>
      <x:c r="I74" s="254"/>
      <x:c r="J74" s="254"/>
      <x:c r="K74" s="254"/>
    </x:row>
    <x:row r="75">
      <x:c r="A75" s="254"/>
      <x:c r="B75" s="254"/>
      <x:c r="C75" s="254"/>
      <x:c r="D75" s="254"/>
      <x:c r="E75" s="254"/>
      <x:c r="F75" s="254"/>
      <x:c r="G75" s="254"/>
      <x:c r="H75" s="254"/>
      <x:c r="I75" s="254"/>
      <x:c r="J75" s="254"/>
      <x:c r="K75" s="254"/>
    </x:row>
    <x:row r="76">
      <x:c r="A76" s="254"/>
      <x:c r="B76" s="254"/>
      <x:c r="C76" s="254"/>
      <x:c r="D76" s="254"/>
      <x:c r="E76" s="254"/>
      <x:c r="F76" s="254"/>
      <x:c r="G76" s="254"/>
      <x:c r="H76" s="254"/>
      <x:c r="I76" s="254"/>
      <x:c r="J76" s="254"/>
      <x:c r="K76" s="254"/>
    </x:row>
    <x:row r="77">
      <x:c r="A77" s="254"/>
      <x:c r="B77" s="254"/>
      <x:c r="C77" s="254"/>
      <x:c r="D77" s="254"/>
      <x:c r="E77" s="254"/>
      <x:c r="F77" s="254"/>
      <x:c r="G77" s="254"/>
      <x:c r="H77" s="254"/>
      <x:c r="I77" s="254"/>
      <x:c r="J77" s="254"/>
      <x:c r="K77" s="254"/>
    </x:row>
    <x:row r="78">
      <x:c r="A78" s="254"/>
      <x:c r="B78" s="254"/>
      <x:c r="C78" s="254"/>
      <x:c r="D78" s="254"/>
      <x:c r="E78" s="254"/>
      <x:c r="F78" s="254"/>
      <x:c r="G78" s="254"/>
      <x:c r="H78" s="254"/>
      <x:c r="I78" s="254"/>
      <x:c r="J78" s="254"/>
      <x:c r="K78" s="254"/>
    </x:row>
    <x:row r="79">
      <x:c r="A79" s="254"/>
      <x:c r="B79" s="254"/>
      <x:c r="C79" s="254"/>
      <x:c r="D79" s="254"/>
      <x:c r="E79" s="254"/>
      <x:c r="F79" s="254"/>
      <x:c r="G79" s="254"/>
      <x:c r="H79" s="254"/>
      <x:c r="I79" s="254"/>
      <x:c r="J79" s="254"/>
      <x:c r="K79" s="254"/>
    </x:row>
    <x:row r="80">
      <x:c r="A80" s="254"/>
      <x:c r="B80" s="254"/>
      <x:c r="C80" s="254"/>
      <x:c r="D80" s="254"/>
      <x:c r="E80" s="254"/>
      <x:c r="F80" s="254"/>
      <x:c r="G80" s="254"/>
      <x:c r="H80" s="254"/>
      <x:c r="I80" s="254"/>
      <x:c r="J80" s="254"/>
      <x:c r="K80" s="254"/>
    </x:row>
    <x:row r="81">
      <x:c r="A81" s="254"/>
      <x:c r="B81" s="254"/>
      <x:c r="C81" s="254"/>
      <x:c r="D81" s="254"/>
      <x:c r="E81" s="254"/>
      <x:c r="F81" s="254"/>
      <x:c r="G81" s="254"/>
      <x:c r="H81" s="254"/>
      <x:c r="I81" s="254"/>
      <x:c r="J81" s="254"/>
      <x:c r="K81" s="254"/>
    </x:row>
    <x:row r="82">
      <x:c r="A82" s="254"/>
      <x:c r="B82" s="254"/>
      <x:c r="C82" s="254"/>
      <x:c r="D82" s="254"/>
      <x:c r="E82" s="254"/>
      <x:c r="F82" s="254"/>
      <x:c r="G82" s="254"/>
      <x:c r="H82" s="254"/>
      <x:c r="I82" s="254"/>
      <x:c r="J82" s="254"/>
      <x:c r="K82" s="254"/>
    </x:row>
    <x:row r="83">
      <x:c r="A83" s="254"/>
      <x:c r="B83" s="254"/>
      <x:c r="C83" s="254"/>
      <x:c r="D83" s="254"/>
      <x:c r="E83" s="254"/>
      <x:c r="F83" s="254"/>
      <x:c r="G83" s="254"/>
      <x:c r="H83" s="254"/>
      <x:c r="I83" s="254"/>
      <x:c r="J83" s="254"/>
      <x:c r="K83" s="254"/>
    </x:row>
    <x:row r="84">
      <x:c r="A84" s="254"/>
      <x:c r="B84" s="254"/>
      <x:c r="C84" s="254"/>
      <x:c r="D84" s="254"/>
      <x:c r="E84" s="254"/>
      <x:c r="F84" s="254"/>
      <x:c r="G84" s="254"/>
      <x:c r="H84" s="254"/>
      <x:c r="I84" s="254"/>
      <x:c r="J84" s="254"/>
      <x:c r="K84" s="254"/>
    </x:row>
    <x:row r="85">
      <x:c r="A85" s="254"/>
      <x:c r="B85" s="254"/>
      <x:c r="C85" s="254"/>
      <x:c r="D85" s="254"/>
      <x:c r="E85" s="254"/>
      <x:c r="F85" s="254"/>
      <x:c r="G85" s="254"/>
      <x:c r="H85" s="254"/>
      <x:c r="I85" s="254"/>
      <x:c r="J85" s="254"/>
      <x:c r="K85" s="254"/>
    </x:row>
    <x:row r="86">
      <x:c r="A86" s="254"/>
      <x:c r="B86" s="254"/>
      <x:c r="C86" s="254"/>
      <x:c r="D86" s="254"/>
      <x:c r="E86" s="254"/>
      <x:c r="F86" s="254"/>
      <x:c r="G86" s="254"/>
      <x:c r="H86" s="254"/>
      <x:c r="I86" s="254"/>
      <x:c r="J86" s="254"/>
      <x:c r="K86" s="254"/>
    </x:row>
    <x:row r="87">
      <x:c r="A87" s="254"/>
      <x:c r="B87" s="254"/>
      <x:c r="C87" s="254"/>
      <x:c r="D87" s="254"/>
      <x:c r="E87" s="254"/>
      <x:c r="F87" s="254"/>
      <x:c r="G87" s="254"/>
      <x:c r="H87" s="254"/>
      <x:c r="I87" s="254"/>
      <x:c r="J87" s="254"/>
      <x:c r="K87" s="254"/>
    </x:row>
    <x:row r="88">
      <x:c r="A88" s="254"/>
      <x:c r="B88" s="254"/>
      <x:c r="C88" s="254"/>
      <x:c r="D88" s="254"/>
      <x:c r="E88" s="254"/>
      <x:c r="F88" s="254"/>
      <x:c r="G88" s="254"/>
      <x:c r="H88" s="254"/>
      <x:c r="I88" s="254"/>
      <x:c r="J88" s="254"/>
      <x:c r="K88" s="254"/>
    </x:row>
    <x:row r="89">
      <x:c r="A89" s="254"/>
      <x:c r="B89" s="254"/>
      <x:c r="C89" s="254"/>
      <x:c r="D89" s="254"/>
      <x:c r="E89" s="254"/>
      <x:c r="F89" s="254"/>
      <x:c r="G89" s="254"/>
      <x:c r="H89" s="254"/>
      <x:c r="I89" s="254"/>
      <x:c r="J89" s="254"/>
      <x:c r="K89" s="254"/>
    </x:row>
    <x:row r="90">
      <x:c r="A90" s="254"/>
      <x:c r="B90" s="254"/>
      <x:c r="C90" s="254"/>
      <x:c r="D90" s="254"/>
      <x:c r="E90" s="254"/>
      <x:c r="F90" s="254"/>
      <x:c r="G90" s="254"/>
      <x:c r="H90" s="254"/>
      <x:c r="I90" s="254"/>
      <x:c r="J90" s="254"/>
      <x:c r="K90" s="254"/>
    </x:row>
    <x:row r="91">
      <x:c r="A91" s="254"/>
      <x:c r="B91" s="254"/>
      <x:c r="C91" s="254"/>
      <x:c r="D91" s="254"/>
      <x:c r="E91" s="254"/>
      <x:c r="F91" s="254"/>
      <x:c r="G91" s="254"/>
      <x:c r="H91" s="254"/>
      <x:c r="I91" s="254"/>
      <x:c r="J91" s="254"/>
      <x:c r="K91" s="254"/>
    </x:row>
    <x:row r="92">
      <x:c r="A92" s="254"/>
      <x:c r="B92" s="254"/>
      <x:c r="C92" s="254"/>
      <x:c r="D92" s="254"/>
      <x:c r="E92" s="254"/>
      <x:c r="F92" s="254"/>
      <x:c r="G92" s="254"/>
      <x:c r="H92" s="254"/>
      <x:c r="I92" s="254"/>
      <x:c r="J92" s="254"/>
      <x:c r="K92" s="254"/>
    </x:row>
    <x:row r="93">
      <x:c r="A93" s="254"/>
      <x:c r="B93" s="254"/>
      <x:c r="C93" s="254"/>
      <x:c r="D93" s="254"/>
      <x:c r="E93" s="254"/>
      <x:c r="F93" s="254"/>
      <x:c r="G93" s="254"/>
      <x:c r="H93" s="254"/>
      <x:c r="I93" s="254"/>
      <x:c r="J93" s="254"/>
      <x:c r="K93" s="254"/>
    </x:row>
    <x:row r="94">
      <x:c r="A94" s="254"/>
      <x:c r="B94" s="254"/>
      <x:c r="C94" s="254"/>
      <x:c r="D94" s="254"/>
      <x:c r="E94" s="254"/>
      <x:c r="F94" s="254"/>
      <x:c r="G94" s="254"/>
      <x:c r="H94" s="254"/>
      <x:c r="I94" s="254"/>
      <x:c r="J94" s="254"/>
      <x:c r="K94" s="254"/>
    </x:row>
    <x:row r="95">
      <x:c r="A95" s="254"/>
      <x:c r="B95" s="254"/>
      <x:c r="C95" s="254"/>
      <x:c r="D95" s="254"/>
      <x:c r="E95" s="254"/>
      <x:c r="F95" s="254"/>
      <x:c r="G95" s="254"/>
      <x:c r="H95" s="254"/>
      <x:c r="I95" s="254"/>
      <x:c r="J95" s="254"/>
      <x:c r="K95" s="254"/>
    </x:row>
    <x:row r="96">
      <x:c r="A96" s="254"/>
      <x:c r="B96" s="254"/>
      <x:c r="C96" s="254"/>
      <x:c r="D96" s="254"/>
      <x:c r="E96" s="254"/>
      <x:c r="F96" s="254"/>
      <x:c r="G96" s="254"/>
      <x:c r="H96" s="254"/>
      <x:c r="I96" s="254"/>
      <x:c r="J96" s="254"/>
      <x:c r="K96" s="254"/>
    </x:row>
    <x:row r="97">
      <x:c r="A97" s="254"/>
      <x:c r="B97" s="254"/>
      <x:c r="C97" s="254"/>
      <x:c r="D97" s="254"/>
      <x:c r="E97" s="254"/>
      <x:c r="F97" s="254"/>
      <x:c r="G97" s="254"/>
      <x:c r="H97" s="254"/>
      <x:c r="I97" s="254"/>
      <x:c r="J97" s="254"/>
      <x:c r="K97" s="254"/>
    </x:row>
    <x:row r="98">
      <x:c r="A98" s="254"/>
      <x:c r="B98" s="254"/>
      <x:c r="C98" s="254"/>
      <x:c r="D98" s="254"/>
      <x:c r="E98" s="254"/>
      <x:c r="F98" s="254"/>
      <x:c r="G98" s="254"/>
      <x:c r="H98" s="254"/>
      <x:c r="I98" s="254"/>
      <x:c r="J98" s="254"/>
      <x:c r="K98" s="254"/>
    </x:row>
    <x:row r="99">
      <x:c r="A99" s="254"/>
      <x:c r="B99" s="254"/>
      <x:c r="C99" s="254"/>
      <x:c r="D99" s="254"/>
      <x:c r="E99" s="254"/>
      <x:c r="F99" s="254"/>
      <x:c r="G99" s="254"/>
      <x:c r="H99" s="254"/>
      <x:c r="I99" s="254"/>
      <x:c r="J99" s="254"/>
      <x:c r="K99" s="254"/>
    </x:row>
    <x:row r="100">
      <x:c r="A100" s="254"/>
      <x:c r="B100" s="254"/>
      <x:c r="C100" s="254"/>
      <x:c r="D100" s="254"/>
      <x:c r="E100" s="254"/>
      <x:c r="F100" s="254"/>
      <x:c r="G100" s="254"/>
      <x:c r="H100" s="254"/>
      <x:c r="I100" s="254"/>
      <x:c r="J100" s="254"/>
      <x:c r="K100" s="254"/>
    </x:row>
    <x:row r="101">
      <x:c r="A101" s="254"/>
      <x:c r="B101" s="254"/>
      <x:c r="C101" s="254"/>
      <x:c r="D101" s="254"/>
      <x:c r="E101" s="254"/>
      <x:c r="F101" s="254"/>
      <x:c r="G101" s="254"/>
      <x:c r="H101" s="254"/>
      <x:c r="I101" s="254"/>
      <x:c r="J101" s="254"/>
      <x:c r="K101" s="254"/>
    </x:row>
    <x:row r="102">
      <x:c r="A102" s="254"/>
      <x:c r="B102" s="254"/>
      <x:c r="C102" s="254"/>
      <x:c r="D102" s="254"/>
      <x:c r="E102" s="254"/>
      <x:c r="F102" s="254"/>
      <x:c r="G102" s="254"/>
      <x:c r="H102" s="254"/>
      <x:c r="I102" s="254"/>
      <x:c r="J102" s="254"/>
      <x:c r="K102" s="254"/>
    </x:row>
    <x:row r="103">
      <x:c r="A103" s="254"/>
      <x:c r="B103" s="254"/>
      <x:c r="C103" s="254"/>
      <x:c r="D103" s="254"/>
      <x:c r="E103" s="254"/>
      <x:c r="F103" s="254"/>
      <x:c r="G103" s="254"/>
      <x:c r="H103" s="254"/>
      <x:c r="I103" s="254"/>
      <x:c r="J103" s="254"/>
      <x:c r="K103" s="254"/>
    </x:row>
    <x:row r="104">
      <x:c r="A104" s="254"/>
      <x:c r="B104" s="254"/>
      <x:c r="C104" s="254"/>
      <x:c r="D104" s="254"/>
      <x:c r="E104" s="254"/>
      <x:c r="F104" s="254"/>
      <x:c r="G104" s="254"/>
      <x:c r="H104" s="254"/>
      <x:c r="I104" s="254"/>
      <x:c r="J104" s="254"/>
      <x:c r="K104" s="254"/>
    </x:row>
    <x:row r="105">
      <x:c r="A105" s="254"/>
      <x:c r="B105" s="254"/>
      <x:c r="C105" s="254"/>
      <x:c r="D105" s="254"/>
      <x:c r="E105" s="254"/>
      <x:c r="F105" s="254"/>
      <x:c r="G105" s="254"/>
      <x:c r="H105" s="254"/>
      <x:c r="I105" s="254"/>
      <x:c r="J105" s="254"/>
      <x:c r="K105" s="254"/>
    </x:row>
    <x:row r="106">
      <x:c r="A106" s="254"/>
      <x:c r="B106" s="254"/>
      <x:c r="C106" s="254"/>
      <x:c r="D106" s="254"/>
      <x:c r="E106" s="254"/>
      <x:c r="F106" s="254"/>
      <x:c r="G106" s="254"/>
      <x:c r="H106" s="254"/>
      <x:c r="I106" s="254"/>
      <x:c r="J106" s="254"/>
      <x:c r="K106" s="254"/>
    </x:row>
    <x:row r="107">
      <x:c r="A107" s="254"/>
      <x:c r="B107" s="254"/>
      <x:c r="C107" s="254"/>
      <x:c r="D107" s="254"/>
      <x:c r="E107" s="254"/>
      <x:c r="F107" s="254"/>
      <x:c r="G107" s="254"/>
      <x:c r="H107" s="254"/>
      <x:c r="I107" s="254"/>
      <x:c r="J107" s="254"/>
      <x:c r="K107" s="254"/>
    </x:row>
    <x:row r="108">
      <x:c r="A108" s="254"/>
      <x:c r="B108" s="254"/>
      <x:c r="C108" s="254"/>
      <x:c r="D108" s="254"/>
      <x:c r="E108" s="254"/>
      <x:c r="F108" s="254"/>
      <x:c r="G108" s="254"/>
      <x:c r="H108" s="254"/>
      <x:c r="I108" s="254"/>
      <x:c r="J108" s="254"/>
      <x:c r="K108" s="254"/>
    </x:row>
    <x:row r="109">
      <x:c r="A109" s="254"/>
      <x:c r="B109" s="254"/>
      <x:c r="C109" s="254"/>
      <x:c r="D109" s="254"/>
      <x:c r="E109" s="254"/>
      <x:c r="F109" s="254"/>
      <x:c r="G109" s="254"/>
      <x:c r="H109" s="254"/>
      <x:c r="I109" s="254"/>
      <x:c r="J109" s="254"/>
      <x:c r="K109" s="254"/>
    </x:row>
    <x:row r="110">
      <x:c r="A110" s="254"/>
      <x:c r="B110" s="254"/>
      <x:c r="C110" s="254"/>
      <x:c r="D110" s="254"/>
      <x:c r="E110" s="254"/>
      <x:c r="F110" s="254"/>
      <x:c r="G110" s="254"/>
      <x:c r="H110" s="254"/>
      <x:c r="I110" s="254"/>
      <x:c r="J110" s="254"/>
      <x:c r="K110" s="254"/>
    </x:row>
    <x:row r="111">
      <x:c r="A111" s="254"/>
      <x:c r="B111" s="254"/>
      <x:c r="C111" s="254"/>
      <x:c r="D111" s="254"/>
      <x:c r="E111" s="254"/>
      <x:c r="F111" s="254"/>
      <x:c r="G111" s="254"/>
      <x:c r="H111" s="254"/>
      <x:c r="I111" s="254"/>
      <x:c r="J111" s="254"/>
      <x:c r="K111" s="254"/>
    </x:row>
    <x:row r="112">
      <x:c r="A112" s="254"/>
      <x:c r="B112" s="254"/>
      <x:c r="C112" s="254"/>
      <x:c r="D112" s="254"/>
      <x:c r="E112" s="254"/>
      <x:c r="F112" s="254"/>
      <x:c r="G112" s="254"/>
      <x:c r="H112" s="254"/>
      <x:c r="I112" s="254"/>
      <x:c r="J112" s="254"/>
      <x:c r="K112" s="254"/>
    </x:row>
    <x:row r="113">
      <x:c r="A113" s="254"/>
      <x:c r="B113" s="254"/>
      <x:c r="C113" s="254"/>
      <x:c r="D113" s="254"/>
      <x:c r="E113" s="254"/>
      <x:c r="F113" s="254"/>
      <x:c r="G113" s="254"/>
      <x:c r="H113" s="254"/>
      <x:c r="I113" s="254"/>
      <x:c r="J113" s="254"/>
      <x:c r="K113" s="254"/>
    </x:row>
    <x:row r="114">
      <x:c r="A114" s="254"/>
      <x:c r="B114" s="254"/>
      <x:c r="C114" s="254"/>
      <x:c r="D114" s="254"/>
      <x:c r="E114" s="254"/>
      <x:c r="F114" s="254"/>
      <x:c r="G114" s="254"/>
      <x:c r="H114" s="254"/>
      <x:c r="I114" s="254"/>
      <x:c r="J114" s="254"/>
      <x:c r="K114" s="254"/>
    </x:row>
    <x:row r="115">
      <x:c r="A115" s="254"/>
      <x:c r="B115" s="254"/>
      <x:c r="C115" s="254"/>
      <x:c r="D115" s="254"/>
      <x:c r="E115" s="254"/>
      <x:c r="F115" s="254"/>
      <x:c r="G115" s="254"/>
      <x:c r="H115" s="254"/>
      <x:c r="I115" s="254"/>
      <x:c r="J115" s="254"/>
      <x:c r="K115" s="254"/>
    </x:row>
    <x:row r="116">
      <x:c r="A116" s="254"/>
      <x:c r="B116" s="254"/>
      <x:c r="C116" s="254"/>
      <x:c r="D116" s="254"/>
      <x:c r="E116" s="254"/>
      <x:c r="F116" s="254"/>
      <x:c r="G116" s="254"/>
      <x:c r="H116" s="254"/>
      <x:c r="I116" s="254"/>
      <x:c r="J116" s="254"/>
      <x:c r="K116" s="254"/>
    </x:row>
    <x:row r="117">
      <x:c r="A117" s="254"/>
      <x:c r="B117" s="254"/>
      <x:c r="C117" s="254"/>
      <x:c r="D117" s="254"/>
      <x:c r="E117" s="254"/>
      <x:c r="F117" s="254"/>
      <x:c r="G117" s="254"/>
      <x:c r="H117" s="254"/>
      <x:c r="I117" s="254"/>
      <x:c r="J117" s="254"/>
      <x:c r="K117" s="254"/>
    </x:row>
    <x:row r="118">
      <x:c r="A118" s="254"/>
      <x:c r="B118" s="254"/>
      <x:c r="C118" s="254"/>
      <x:c r="D118" s="254"/>
      <x:c r="E118" s="254"/>
      <x:c r="F118" s="254"/>
      <x:c r="G118" s="254"/>
      <x:c r="H118" s="254"/>
      <x:c r="I118" s="254"/>
      <x:c r="J118" s="254"/>
      <x:c r="K118" s="254"/>
    </x:row>
    <x:row r="119">
      <x:c r="A119" s="254"/>
      <x:c r="B119" s="254"/>
      <x:c r="C119" s="254"/>
      <x:c r="D119" s="254"/>
      <x:c r="E119" s="254"/>
      <x:c r="F119" s="254"/>
      <x:c r="G119" s="254"/>
      <x:c r="H119" s="254"/>
      <x:c r="I119" s="254"/>
      <x:c r="J119" s="254"/>
      <x:c r="K119" s="254"/>
    </x:row>
    <x:row r="120">
      <x:c r="A120" s="254"/>
      <x:c r="B120" s="254"/>
      <x:c r="C120" s="254"/>
      <x:c r="D120" s="254"/>
      <x:c r="E120" s="254"/>
      <x:c r="F120" s="254"/>
      <x:c r="G120" s="254"/>
      <x:c r="H120" s="254"/>
      <x:c r="I120" s="254"/>
      <x:c r="J120" s="254"/>
      <x:c r="K120" s="254"/>
    </x:row>
    <x:row r="121">
      <x:c r="A121" s="254"/>
      <x:c r="B121" s="254"/>
      <x:c r="C121" s="254"/>
      <x:c r="D121" s="254"/>
      <x:c r="E121" s="254"/>
      <x:c r="F121" s="254"/>
      <x:c r="G121" s="254"/>
      <x:c r="H121" s="254"/>
      <x:c r="I121" s="254"/>
      <x:c r="J121" s="254"/>
      <x:c r="K121" s="254"/>
    </x:row>
    <x:row r="122">
      <x:c r="A122" s="254"/>
      <x:c r="B122" s="254"/>
      <x:c r="C122" s="254"/>
      <x:c r="D122" s="254"/>
      <x:c r="E122" s="254"/>
      <x:c r="F122" s="254"/>
      <x:c r="G122" s="254"/>
      <x:c r="H122" s="254"/>
      <x:c r="I122" s="254"/>
      <x:c r="J122" s="254"/>
      <x:c r="K122" s="254"/>
    </x:row>
    <x:row r="123">
      <x:c r="A123" s="254"/>
      <x:c r="B123" s="254"/>
      <x:c r="C123" s="254"/>
      <x:c r="D123" s="254"/>
      <x:c r="E123" s="254"/>
      <x:c r="F123" s="254"/>
      <x:c r="G123" s="254"/>
      <x:c r="H123" s="254"/>
      <x:c r="I123" s="254"/>
      <x:c r="J123" s="254"/>
      <x:c r="K123" s="254"/>
    </x:row>
    <x:row r="124">
      <x:c r="A124" s="254"/>
      <x:c r="B124" s="254"/>
      <x:c r="C124" s="254"/>
      <x:c r="D124" s="254"/>
      <x:c r="E124" s="254"/>
      <x:c r="F124" s="254"/>
      <x:c r="G124" s="254"/>
      <x:c r="H124" s="254"/>
      <x:c r="I124" s="254"/>
      <x:c r="J124" s="254"/>
      <x:c r="K124" s="254"/>
    </x:row>
    <x:row r="125">
      <x:c r="A125" s="254"/>
      <x:c r="B125" s="254"/>
      <x:c r="C125" s="254"/>
      <x:c r="D125" s="254"/>
      <x:c r="E125" s="254"/>
      <x:c r="F125" s="254"/>
      <x:c r="G125" s="254"/>
      <x:c r="H125" s="254"/>
      <x:c r="I125" s="254"/>
      <x:c r="J125" s="254"/>
      <x:c r="K125" s="254"/>
    </x:row>
    <x:row r="126">
      <x:c r="A126" s="254"/>
      <x:c r="B126" s="254"/>
      <x:c r="C126" s="254"/>
      <x:c r="D126" s="254"/>
      <x:c r="E126" s="254"/>
      <x:c r="F126" s="254"/>
      <x:c r="G126" s="254"/>
      <x:c r="H126" s="254"/>
      <x:c r="I126" s="254"/>
      <x:c r="J126" s="254"/>
      <x:c r="K126" s="254"/>
    </x:row>
    <x:row r="127">
      <x:c r="A127" s="254"/>
      <x:c r="B127" s="254"/>
      <x:c r="C127" s="254"/>
      <x:c r="D127" s="254"/>
      <x:c r="E127" s="254"/>
      <x:c r="F127" s="254"/>
      <x:c r="G127" s="254"/>
      <x:c r="H127" s="254"/>
      <x:c r="I127" s="254"/>
      <x:c r="J127" s="254"/>
      <x:c r="K127" s="254"/>
    </x:row>
    <x:row r="128">
      <x:c r="A128" s="254"/>
      <x:c r="B128" s="254"/>
      <x:c r="C128" s="254"/>
      <x:c r="D128" s="254"/>
      <x:c r="E128" s="254"/>
      <x:c r="F128" s="254"/>
      <x:c r="G128" s="254"/>
      <x:c r="H128" s="254"/>
      <x:c r="I128" s="254"/>
      <x:c r="J128" s="254"/>
      <x:c r="K128" s="254"/>
    </x:row>
    <x:row r="129">
      <x:c r="A129" s="254"/>
      <x:c r="B129" s="254"/>
      <x:c r="C129" s="254"/>
      <x:c r="D129" s="254"/>
      <x:c r="E129" s="254"/>
      <x:c r="F129" s="254"/>
      <x:c r="G129" s="254"/>
      <x:c r="H129" s="254"/>
      <x:c r="I129" s="254"/>
      <x:c r="J129" s="254"/>
      <x:c r="K129" s="254"/>
    </x:row>
    <x:row r="130">
      <x:c r="A130" s="254"/>
      <x:c r="B130" s="254"/>
      <x:c r="C130" s="254"/>
      <x:c r="D130" s="254"/>
      <x:c r="E130" s="254"/>
      <x:c r="F130" s="254"/>
      <x:c r="G130" s="254"/>
      <x:c r="H130" s="254"/>
      <x:c r="I130" s="254"/>
      <x:c r="J130" s="254"/>
      <x:c r="K130" s="254"/>
    </x:row>
    <x:row r="131">
      <x:c r="A131" s="254"/>
      <x:c r="B131" s="254"/>
      <x:c r="C131" s="254"/>
      <x:c r="D131" s="254"/>
      <x:c r="E131" s="254"/>
      <x:c r="F131" s="254"/>
      <x:c r="G131" s="254"/>
      <x:c r="H131" s="254"/>
      <x:c r="I131" s="254"/>
      <x:c r="J131" s="254"/>
      <x:c r="K131" s="254"/>
    </x:row>
    <x:row r="132">
      <x:c r="A132" s="254"/>
      <x:c r="B132" s="254"/>
      <x:c r="C132" s="254"/>
      <x:c r="D132" s="254"/>
      <x:c r="E132" s="254"/>
      <x:c r="F132" s="254"/>
      <x:c r="G132" s="254"/>
      <x:c r="H132" s="254"/>
      <x:c r="I132" s="254"/>
      <x:c r="J132" s="254"/>
      <x:c r="K132" s="254"/>
    </x:row>
    <x:row r="133">
      <x:c r="A133" s="254"/>
      <x:c r="B133" s="254"/>
      <x:c r="C133" s="254"/>
      <x:c r="D133" s="254"/>
      <x:c r="E133" s="254"/>
      <x:c r="F133" s="254"/>
      <x:c r="G133" s="254"/>
      <x:c r="H133" s="254"/>
      <x:c r="I133" s="254"/>
      <x:c r="J133" s="254"/>
      <x:c r="K133" s="254"/>
    </x:row>
    <x:row r="134">
      <x:c r="A134" s="254"/>
      <x:c r="B134" s="254"/>
      <x:c r="C134" s="254"/>
      <x:c r="D134" s="254"/>
      <x:c r="E134" s="254"/>
      <x:c r="F134" s="254"/>
      <x:c r="G134" s="254"/>
      <x:c r="H134" s="254"/>
      <x:c r="I134" s="254"/>
      <x:c r="J134" s="254"/>
      <x:c r="K134" s="254"/>
    </x:row>
    <x:row r="135">
      <x:c r="A135" s="254"/>
      <x:c r="B135" s="254"/>
      <x:c r="C135" s="254"/>
      <x:c r="D135" s="254"/>
      <x:c r="E135" s="254"/>
      <x:c r="F135" s="254"/>
      <x:c r="G135" s="254"/>
      <x:c r="H135" s="254"/>
      <x:c r="I135" s="254"/>
      <x:c r="J135" s="254"/>
      <x:c r="K135" s="254"/>
    </x:row>
    <x:row r="136">
      <x:c r="A136" s="254"/>
      <x:c r="B136" s="254"/>
      <x:c r="C136" s="254"/>
      <x:c r="D136" s="254"/>
      <x:c r="E136" s="254"/>
      <x:c r="F136" s="254"/>
      <x:c r="G136" s="254"/>
      <x:c r="H136" s="254"/>
      <x:c r="I136" s="254"/>
      <x:c r="J136" s="254"/>
      <x:c r="K136" s="254"/>
    </x:row>
    <x:row r="137">
      <x:c r="A137" s="254"/>
      <x:c r="B137" s="254"/>
      <x:c r="C137" s="254"/>
      <x:c r="D137" s="254"/>
      <x:c r="E137" s="254"/>
      <x:c r="F137" s="254"/>
      <x:c r="G137" s="254"/>
      <x:c r="H137" s="254"/>
      <x:c r="I137" s="254"/>
      <x:c r="J137" s="254"/>
      <x:c r="K137" s="254"/>
    </x:row>
    <x:row r="138">
      <x:c r="A138" s="254"/>
      <x:c r="B138" s="254"/>
      <x:c r="C138" s="254"/>
      <x:c r="D138" s="254"/>
      <x:c r="E138" s="254"/>
      <x:c r="F138" s="254"/>
      <x:c r="G138" s="254"/>
      <x:c r="H138" s="254"/>
      <x:c r="I138" s="254"/>
      <x:c r="J138" s="254"/>
      <x:c r="K138" s="254"/>
    </x:row>
    <x:row r="139">
      <x:c r="A139" s="254"/>
      <x:c r="B139" s="254"/>
      <x:c r="C139" s="254"/>
      <x:c r="D139" s="254"/>
      <x:c r="E139" s="254"/>
      <x:c r="F139" s="254"/>
      <x:c r="G139" s="254"/>
      <x:c r="H139" s="254"/>
      <x:c r="I139" s="254"/>
      <x:c r="J139" s="254"/>
      <x:c r="K139" s="254"/>
    </x:row>
    <x:row r="140">
      <x:c r="A140" s="254"/>
      <x:c r="B140" s="254"/>
      <x:c r="C140" s="254"/>
      <x:c r="D140" s="254"/>
      <x:c r="E140" s="254"/>
      <x:c r="F140" s="254"/>
      <x:c r="G140" s="254"/>
      <x:c r="H140" s="254"/>
      <x:c r="I140" s="254"/>
      <x:c r="J140" s="254"/>
      <x:c r="K140" s="254"/>
    </x:row>
    <x:row r="141">
      <x:c r="A141" s="254"/>
      <x:c r="B141" s="254"/>
      <x:c r="C141" s="254"/>
      <x:c r="D141" s="254"/>
      <x:c r="E141" s="254"/>
      <x:c r="F141" s="254"/>
      <x:c r="G141" s="254"/>
      <x:c r="H141" s="254"/>
      <x:c r="I141" s="254"/>
      <x:c r="J141" s="254"/>
      <x:c r="K141" s="254"/>
    </x:row>
    <x:row r="142">
      <x:c r="A142" s="254"/>
      <x:c r="B142" s="254"/>
      <x:c r="C142" s="254"/>
      <x:c r="D142" s="254"/>
      <x:c r="E142" s="254"/>
      <x:c r="F142" s="254"/>
      <x:c r="G142" s="254"/>
      <x:c r="H142" s="254"/>
      <x:c r="I142" s="254"/>
      <x:c r="J142" s="254"/>
      <x:c r="K142" s="254"/>
    </x:row>
    <x:row r="143">
      <x:c r="A143" s="254"/>
      <x:c r="B143" s="254"/>
      <x:c r="C143" s="254"/>
      <x:c r="D143" s="254"/>
      <x:c r="E143" s="254"/>
      <x:c r="F143" s="254"/>
      <x:c r="G143" s="254"/>
      <x:c r="H143" s="254"/>
      <x:c r="I143" s="254"/>
      <x:c r="J143" s="254"/>
      <x:c r="K143" s="254"/>
    </x:row>
    <x:row r="144">
      <x:c r="A144" s="254"/>
      <x:c r="B144" s="254"/>
      <x:c r="C144" s="254"/>
      <x:c r="D144" s="254"/>
      <x:c r="E144" s="254"/>
      <x:c r="F144" s="254"/>
      <x:c r="G144" s="254"/>
      <x:c r="H144" s="254"/>
      <x:c r="I144" s="254"/>
      <x:c r="J144" s="254"/>
      <x:c r="K144" s="254"/>
    </x:row>
    <x:row r="145">
      <x:c r="A145" s="254"/>
      <x:c r="B145" s="254"/>
      <x:c r="C145" s="254"/>
      <x:c r="D145" s="254"/>
      <x:c r="E145" s="254"/>
      <x:c r="F145" s="254"/>
      <x:c r="G145" s="254"/>
      <x:c r="H145" s="254"/>
      <x:c r="I145" s="254"/>
      <x:c r="J145" s="254"/>
      <x:c r="K145" s="254"/>
    </x:row>
    <x:row r="146">
      <x:c r="A146" s="254"/>
      <x:c r="B146" s="254"/>
      <x:c r="C146" s="254"/>
      <x:c r="D146" s="254"/>
      <x:c r="E146" s="254"/>
      <x:c r="F146" s="254"/>
      <x:c r="G146" s="254"/>
      <x:c r="H146" s="254"/>
      <x:c r="I146" s="254"/>
      <x:c r="J146" s="254"/>
      <x:c r="K146" s="254"/>
    </x:row>
    <x:row r="147">
      <x:c r="A147" s="254"/>
      <x:c r="B147" s="254"/>
      <x:c r="C147" s="254"/>
      <x:c r="D147" s="254"/>
      <x:c r="E147" s="254"/>
      <x:c r="F147" s="254"/>
      <x:c r="G147" s="254"/>
      <x:c r="H147" s="254"/>
      <x:c r="I147" s="254"/>
      <x:c r="J147" s="254"/>
      <x:c r="K147" s="254"/>
    </x:row>
    <x:row r="148">
      <x:c r="A148" s="254"/>
      <x:c r="B148" s="254"/>
      <x:c r="C148" s="254"/>
      <x:c r="D148" s="254"/>
      <x:c r="E148" s="254"/>
      <x:c r="F148" s="254"/>
      <x:c r="G148" s="254"/>
      <x:c r="H148" s="254"/>
      <x:c r="I148" s="254"/>
      <x:c r="J148" s="254"/>
      <x:c r="K148" s="254"/>
    </x:row>
    <x:row r="149">
      <x:c r="A149" s="254"/>
      <x:c r="B149" s="254"/>
      <x:c r="C149" s="254"/>
      <x:c r="D149" s="254"/>
      <x:c r="E149" s="254"/>
      <x:c r="F149" s="254"/>
      <x:c r="G149" s="254"/>
      <x:c r="H149" s="254"/>
      <x:c r="I149" s="254"/>
      <x:c r="J149" s="254"/>
      <x:c r="K149" s="254"/>
    </x:row>
    <x:row r="150">
      <x:c r="A150" s="254"/>
      <x:c r="B150" s="254"/>
      <x:c r="C150" s="254"/>
      <x:c r="D150" s="254"/>
      <x:c r="E150" s="254"/>
      <x:c r="F150" s="254"/>
      <x:c r="G150" s="254"/>
      <x:c r="H150" s="254"/>
      <x:c r="I150" s="254"/>
      <x:c r="J150" s="254"/>
      <x:c r="K150" s="254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82" hidden="0" customWidth="1"/>
  </x:cols>
  <x:sheetData>
    <x:row r="1" ht="25" customHeight="1">
      <x:c r="A1" s="5" t="str">
        <x:v>CCA CONTROL PANEL</x:v>
      </x:c>
      <x:c r="B1" s="5"/>
      <x:c r="C1" s="5"/>
      <x:c r="D1" s="5"/>
      <x:c r="E1" s="5"/>
      <x:c r="F1" s="5"/>
      <x:c r="G1" s="5"/>
      <x:c r="H1" s="5"/>
      <x:c r="I1" s="254"/>
      <x:c r="J1" s="254"/>
      <x:c r="K1" s="254"/>
    </x:row>
    <x:row r="2" ht="22" customHeight="1">
      <x:c r="A2" s="13" t="str">
        <x:v>Single control sheet for valuation date, basis, universe and methodology</x:v>
      </x:c>
      <x:c r="B2" s="13"/>
      <x:c r="C2" s="13"/>
      <x:c r="D2" s="13"/>
      <x:c r="E2" s="13"/>
      <x:c r="F2" s="13"/>
      <x:c r="G2" s="13"/>
      <x:c r="H2" s="13"/>
      <x:c r="I2" s="254"/>
      <x:c r="J2" s="254"/>
      <x:c r="K2" s="254"/>
    </x:row>
    <x:row r="3">
      <x:c r="A3" s="255" t="str">
        <x:v>Valuation Date</x:v>
      </x:c>
      <x:c r="B3" s="256" t="str">
        <x:v>18-Sep-2026</x:v>
      </x:c>
      <x:c r="C3" s="254"/>
      <x:c r="D3" s="254"/>
      <x:c r="E3" s="254"/>
      <x:c r="F3" s="254"/>
      <x:c r="G3" s="254"/>
      <x:c r="H3" s="254"/>
      <x:c r="I3" s="254"/>
      <x:c r="J3" s="254"/>
      <x:c r="K3" s="254"/>
    </x:row>
    <x:row r="4">
      <x:c r="A4" s="255" t="str">
        <x:v>Balance Sheet Basis</x:v>
      </x:c>
      <x:c r="B4" s="256" t="str">
        <x:v>FY26 audited / standardized</x:v>
      </x:c>
      <x:c r="C4" s="254"/>
      <x:c r="D4" s="254"/>
      <x:c r="E4" s="254"/>
      <x:c r="F4" s="254"/>
      <x:c r="G4" s="254"/>
      <x:c r="H4" s="254"/>
      <x:c r="I4" s="254"/>
      <x:c r="J4" s="254"/>
      <x:c r="K4" s="254"/>
    </x:row>
    <x:row r="5">
      <x:c r="A5" s="255" t="str">
        <x:v>Operating Period</x:v>
      </x:c>
      <x:c r="B5" s="256" t="str">
        <x:v>Q1 FY27</x:v>
      </x:c>
      <x:c r="C5" s="254"/>
      <x:c r="D5" s="254"/>
      <x:c r="E5" s="254"/>
      <x:c r="F5" s="254"/>
      <x:c r="G5" s="254"/>
      <x:c r="H5" s="254"/>
      <x:c r="I5" s="254"/>
      <x:c r="J5" s="254"/>
      <x:c r="K5" s="254"/>
    </x:row>
    <x:row r="6">
      <x:c r="A6" s="255" t="str">
        <x:v>Currency</x:v>
      </x:c>
      <x:c r="B6" s="256" t="str">
        <x:v>INR</x:v>
      </x:c>
      <x:c r="C6" s="254"/>
      <x:c r="D6" s="254"/>
      <x:c r="E6" s="254"/>
      <x:c r="F6" s="254"/>
      <x:c r="G6" s="254"/>
      <x:c r="H6" s="254"/>
      <x:c r="I6" s="254"/>
      <x:c r="J6" s="254"/>
      <x:c r="K6" s="254"/>
    </x:row>
    <x:row r="7">
      <x:c r="A7" s="255" t="str">
        <x:v>Primary Valuation</x:v>
      </x:c>
      <x:c r="B7" s="256" t="str">
        <x:v>P/TBV and P/B</x:v>
      </x:c>
      <x:c r="C7" s="254"/>
      <x:c r="D7" s="254"/>
      <x:c r="E7" s="254"/>
      <x:c r="F7" s="254"/>
      <x:c r="G7" s="254"/>
      <x:c r="H7" s="254"/>
      <x:c r="I7" s="254"/>
      <x:c r="J7" s="254"/>
      <x:c r="K7" s="254"/>
    </x:row>
    <x:row r="8">
      <x:c r="A8" s="255" t="str">
        <x:v>Secondary Valuation</x:v>
      </x:c>
      <x:c r="B8" s="256" t="str">
        <x:v>P/E</x:v>
      </x:c>
      <x:c r="C8" s="254"/>
      <x:c r="D8" s="254"/>
      <x:c r="E8" s="254"/>
      <x:c r="F8" s="254"/>
      <x:c r="G8" s="254"/>
      <x:c r="H8" s="254"/>
      <x:c r="I8" s="254"/>
      <x:c r="J8" s="254"/>
      <x:c r="K8" s="254"/>
    </x:row>
    <x:row r="9">
      <x:c r="A9" s="255" t="str">
        <x:v>Peer Universe</x:v>
      </x:c>
      <x:c r="B9" s="256" t="str">
        <x:v>Axis Bank; HDFC Bank; ICICI Bank; Kotak Mahindra Bank; Federal Bank</x:v>
      </x:c>
      <x:c r="C9" s="254"/>
      <x:c r="D9" s="254"/>
      <x:c r="E9" s="254"/>
      <x:c r="F9" s="254"/>
      <x:c r="G9" s="254"/>
      <x:c r="H9" s="254"/>
      <x:c r="I9" s="254"/>
      <x:c r="J9" s="254"/>
      <x:c r="K9" s="254"/>
    </x:row>
    <x:row r="10">
      <x:c r="A10" s="255" t="str">
        <x:v>Primary Tangible Metric</x:v>
      </x:c>
      <x:c r="B10" s="256" t="str">
        <x:v>TBVPS</x:v>
      </x:c>
      <x:c r="C10" s="254"/>
      <x:c r="D10" s="254"/>
      <x:c r="E10" s="254"/>
      <x:c r="F10" s="254"/>
      <x:c r="G10" s="254"/>
      <x:c r="H10" s="254"/>
      <x:c r="I10" s="254"/>
      <x:c r="J10" s="254"/>
      <x:c r="K10" s="254"/>
    </x:row>
    <x:row r="11">
      <x:c r="A11" s="255" t="str">
        <x:v>Source Hierarchy</x:v>
      </x:c>
      <x:c r="B11" s="256" t="str">
        <x:v>Issuer results → Screener market snapshot → standardized balance sheet dataset</x:v>
      </x:c>
      <x:c r="C11" s="254"/>
      <x:c r="D11" s="254"/>
      <x:c r="E11" s="254"/>
      <x:c r="F11" s="254"/>
      <x:c r="G11" s="254"/>
      <x:c r="H11" s="254"/>
      <x:c r="I11" s="254"/>
      <x:c r="J11" s="254"/>
      <x:c r="K11" s="254"/>
    </x:row>
    <x:row r="12">
      <x:c r="A12" s="255" t="str">
        <x:v>Raw Data Structure</x:v>
      </x:c>
      <x:c r="B12" s="256" t="str">
        <x:v>Single sheet; bank name once, then all inputs, then next bank</x:v>
      </x:c>
      <x:c r="C12" s="254"/>
      <x:c r="D12" s="254"/>
      <x:c r="E12" s="254"/>
      <x:c r="F12" s="254"/>
      <x:c r="G12" s="254"/>
      <x:c r="H12" s="254"/>
      <x:c r="I12" s="254"/>
      <x:c r="J12" s="254"/>
      <x:c r="K12" s="254"/>
    </x:row>
    <x:row r="13">
      <x:c r="A13" s="255" t="str">
        <x:v>Model Note</x:v>
      </x:c>
      <x:c r="B13" s="256" t="str">
        <x:v>No unsupported intangible split is invented; total intangible adjustment is reconciled mathematically.</x:v>
      </x:c>
      <x:c r="C13" s="254"/>
      <x:c r="D13" s="254"/>
      <x:c r="E13" s="254"/>
      <x:c r="F13" s="254"/>
      <x:c r="G13" s="254"/>
      <x:c r="H13" s="254"/>
      <x:c r="I13" s="254"/>
      <x:c r="J13" s="254"/>
      <x:c r="K13" s="254"/>
    </x:row>
    <x:row r="14">
      <x:c r="A14" s="254"/>
      <x:c r="B14" s="254"/>
      <x:c r="C14" s="254"/>
      <x:c r="D14" s="254"/>
      <x:c r="E14" s="254"/>
      <x:c r="F14" s="254"/>
      <x:c r="G14" s="254"/>
      <x:c r="H14" s="254"/>
      <x:c r="I14" s="254"/>
      <x:c r="J14" s="254"/>
      <x:c r="K14" s="254"/>
    </x:row>
    <x:row r="15">
      <x:c r="A15" s="254"/>
      <x:c r="B15" s="254"/>
      <x:c r="C15" s="254"/>
      <x:c r="D15" s="254"/>
      <x:c r="E15" s="254"/>
      <x:c r="F15" s="254"/>
      <x:c r="G15" s="254"/>
      <x:c r="H15" s="254"/>
      <x:c r="I15" s="254"/>
      <x:c r="J15" s="254"/>
      <x:c r="K15" s="254"/>
    </x:row>
    <x:row r="16">
      <x:c r="A16" s="254"/>
      <x:c r="B16" s="254"/>
      <x:c r="C16" s="254"/>
      <x:c r="D16" s="254"/>
      <x:c r="E16" s="254"/>
      <x:c r="F16" s="254"/>
      <x:c r="G16" s="254"/>
      <x:c r="H16" s="254"/>
      <x:c r="I16" s="254"/>
      <x:c r="J16" s="254"/>
      <x:c r="K16" s="254"/>
    </x:row>
    <x:row r="17">
      <x:c r="A17" s="254"/>
      <x:c r="B17" s="254"/>
      <x:c r="C17" s="254"/>
      <x:c r="D17" s="254"/>
      <x:c r="E17" s="254"/>
      <x:c r="F17" s="254"/>
      <x:c r="G17" s="254"/>
      <x:c r="H17" s="254"/>
      <x:c r="I17" s="254"/>
      <x:c r="J17" s="254"/>
      <x:c r="K17" s="254"/>
    </x:row>
    <x:row r="18">
      <x:c r="A18" s="254"/>
      <x:c r="B18" s="254"/>
      <x:c r="C18" s="254"/>
      <x:c r="D18" s="254"/>
      <x:c r="E18" s="254"/>
      <x:c r="F18" s="254"/>
      <x:c r="G18" s="254"/>
      <x:c r="H18" s="254"/>
      <x:c r="I18" s="254"/>
      <x:c r="J18" s="254"/>
      <x:c r="K18" s="254"/>
    </x:row>
    <x:row r="19">
      <x:c r="A19" s="254"/>
      <x:c r="B19" s="254"/>
      <x:c r="C19" s="254"/>
      <x:c r="D19" s="254"/>
      <x:c r="E19" s="254"/>
      <x:c r="F19" s="254"/>
      <x:c r="G19" s="254"/>
      <x:c r="H19" s="254"/>
      <x:c r="I19" s="254"/>
      <x:c r="J19" s="254"/>
      <x:c r="K19" s="254"/>
    </x:row>
    <x:row r="20">
      <x:c r="A20" s="254"/>
      <x:c r="B20" s="254"/>
      <x:c r="C20" s="254"/>
      <x:c r="D20" s="254"/>
      <x:c r="E20" s="254"/>
      <x:c r="F20" s="254"/>
      <x:c r="G20" s="254"/>
      <x:c r="H20" s="254"/>
      <x:c r="I20" s="254"/>
      <x:c r="J20" s="254"/>
      <x:c r="K20" s="254"/>
    </x:row>
    <x:row r="21">
      <x:c r="A21" s="254"/>
      <x:c r="B21" s="254"/>
      <x:c r="C21" s="254"/>
      <x:c r="D21" s="254"/>
      <x:c r="E21" s="254"/>
      <x:c r="F21" s="254"/>
      <x:c r="G21" s="254"/>
      <x:c r="H21" s="254"/>
      <x:c r="I21" s="254"/>
      <x:c r="J21" s="254"/>
      <x:c r="K21" s="254"/>
    </x:row>
    <x:row r="22">
      <x:c r="A22" s="254"/>
      <x:c r="B22" s="254"/>
      <x:c r="C22" s="254"/>
      <x:c r="D22" s="254"/>
      <x:c r="E22" s="254"/>
      <x:c r="F22" s="254"/>
      <x:c r="G22" s="254"/>
      <x:c r="H22" s="254"/>
      <x:c r="I22" s="254"/>
      <x:c r="J22" s="254"/>
      <x:c r="K22" s="254"/>
    </x:row>
    <x:row r="23">
      <x:c r="A23" s="254"/>
      <x:c r="B23" s="254"/>
      <x:c r="C23" s="254"/>
      <x:c r="D23" s="254"/>
      <x:c r="E23" s="254"/>
      <x:c r="F23" s="254"/>
      <x:c r="G23" s="254"/>
      <x:c r="H23" s="254"/>
      <x:c r="I23" s="254"/>
      <x:c r="J23" s="254"/>
      <x:c r="K23" s="254"/>
    </x:row>
    <x:row r="24">
      <x:c r="A24" s="254"/>
      <x:c r="B24" s="254"/>
      <x:c r="C24" s="254"/>
      <x:c r="D24" s="254"/>
      <x:c r="E24" s="254"/>
      <x:c r="F24" s="254"/>
      <x:c r="G24" s="254"/>
      <x:c r="H24" s="254"/>
      <x:c r="I24" s="254"/>
      <x:c r="J24" s="254"/>
      <x:c r="K24" s="254"/>
    </x:row>
    <x:row r="25">
      <x:c r="A25" s="254"/>
      <x:c r="B25" s="254"/>
      <x:c r="C25" s="254"/>
      <x:c r="D25" s="254"/>
      <x:c r="E25" s="254"/>
      <x:c r="F25" s="254"/>
      <x:c r="G25" s="254"/>
      <x:c r="H25" s="254"/>
      <x:c r="I25" s="254"/>
      <x:c r="J25" s="254"/>
      <x:c r="K25" s="254"/>
    </x:row>
    <x:row r="26">
      <x:c r="A26" s="254"/>
      <x:c r="B26" s="254"/>
      <x:c r="C26" s="254"/>
      <x:c r="D26" s="254"/>
      <x:c r="E26" s="254"/>
      <x:c r="F26" s="254"/>
      <x:c r="G26" s="254"/>
      <x:c r="H26" s="254"/>
      <x:c r="I26" s="254"/>
      <x:c r="J26" s="254"/>
      <x:c r="K26" s="254"/>
    </x:row>
    <x:row r="27">
      <x:c r="A27" s="254"/>
      <x:c r="B27" s="254"/>
      <x:c r="C27" s="254"/>
      <x:c r="D27" s="254"/>
      <x:c r="E27" s="254"/>
      <x:c r="F27" s="254"/>
      <x:c r="G27" s="254"/>
      <x:c r="H27" s="254"/>
      <x:c r="I27" s="254"/>
      <x:c r="J27" s="254"/>
      <x:c r="K27" s="254"/>
    </x:row>
    <x:row r="28">
      <x:c r="A28" s="254"/>
      <x:c r="B28" s="254"/>
      <x:c r="C28" s="254"/>
      <x:c r="D28" s="254"/>
      <x:c r="E28" s="254"/>
      <x:c r="F28" s="254"/>
      <x:c r="G28" s="254"/>
      <x:c r="H28" s="254"/>
      <x:c r="I28" s="254"/>
      <x:c r="J28" s="254"/>
      <x:c r="K28" s="254"/>
    </x:row>
    <x:row r="29">
      <x:c r="A29" s="254"/>
      <x:c r="B29" s="254"/>
      <x:c r="C29" s="254"/>
      <x:c r="D29" s="254"/>
      <x:c r="E29" s="254"/>
      <x:c r="F29" s="254"/>
      <x:c r="G29" s="254"/>
      <x:c r="H29" s="254"/>
      <x:c r="I29" s="254"/>
      <x:c r="J29" s="254"/>
      <x:c r="K29" s="254"/>
    </x:row>
    <x:row r="30">
      <x:c r="A30" s="254"/>
      <x:c r="B30" s="254"/>
      <x:c r="C30" s="254"/>
      <x:c r="D30" s="254"/>
      <x:c r="E30" s="254"/>
      <x:c r="F30" s="254"/>
      <x:c r="G30" s="254"/>
      <x:c r="H30" s="254"/>
      <x:c r="I30" s="254"/>
      <x:c r="J30" s="254"/>
      <x:c r="K30" s="254"/>
    </x:row>
    <x:row r="31">
      <x:c r="A31" s="254"/>
      <x:c r="B31" s="254"/>
      <x:c r="C31" s="254"/>
      <x:c r="D31" s="254"/>
      <x:c r="E31" s="254"/>
      <x:c r="F31" s="254"/>
      <x:c r="G31" s="254"/>
      <x:c r="H31" s="254"/>
      <x:c r="I31" s="254"/>
      <x:c r="J31" s="254"/>
      <x:c r="K31" s="254"/>
    </x:row>
    <x:row r="32">
      <x:c r="A32" s="254"/>
      <x:c r="B32" s="254"/>
      <x:c r="C32" s="254"/>
      <x:c r="D32" s="254"/>
      <x:c r="E32" s="254"/>
      <x:c r="F32" s="254"/>
      <x:c r="G32" s="254"/>
      <x:c r="H32" s="254"/>
      <x:c r="I32" s="254"/>
      <x:c r="J32" s="254"/>
      <x:c r="K32" s="254"/>
    </x:row>
    <x:row r="33">
      <x:c r="A33" s="254"/>
      <x:c r="B33" s="254"/>
      <x:c r="C33" s="254"/>
      <x:c r="D33" s="254"/>
      <x:c r="E33" s="254"/>
      <x:c r="F33" s="254"/>
      <x:c r="G33" s="254"/>
      <x:c r="H33" s="254"/>
      <x:c r="I33" s="254"/>
      <x:c r="J33" s="254"/>
      <x:c r="K33" s="254"/>
    </x:row>
    <x:row r="34">
      <x:c r="A34" s="254"/>
      <x:c r="B34" s="254"/>
      <x:c r="C34" s="254"/>
      <x:c r="D34" s="254"/>
      <x:c r="E34" s="254"/>
      <x:c r="F34" s="254"/>
      <x:c r="G34" s="254"/>
      <x:c r="H34" s="254"/>
      <x:c r="I34" s="254"/>
      <x:c r="J34" s="254"/>
      <x:c r="K34" s="254"/>
    </x:row>
    <x:row r="35">
      <x:c r="A35" s="254"/>
      <x:c r="B35" s="254"/>
      <x:c r="C35" s="254"/>
      <x:c r="D35" s="254"/>
      <x:c r="E35" s="254"/>
      <x:c r="F35" s="254"/>
      <x:c r="G35" s="254"/>
      <x:c r="H35" s="254"/>
      <x:c r="I35" s="254"/>
      <x:c r="J35" s="254"/>
      <x:c r="K35" s="254"/>
    </x:row>
    <x:row r="36">
      <x:c r="A36" s="254"/>
      <x:c r="B36" s="254"/>
      <x:c r="C36" s="254"/>
      <x:c r="D36" s="254"/>
      <x:c r="E36" s="254"/>
      <x:c r="F36" s="254"/>
      <x:c r="G36" s="254"/>
      <x:c r="H36" s="254"/>
      <x:c r="I36" s="254"/>
      <x:c r="J36" s="254"/>
      <x:c r="K36" s="254"/>
    </x:row>
    <x:row r="37">
      <x:c r="A37" s="254"/>
      <x:c r="B37" s="254"/>
      <x:c r="C37" s="254"/>
      <x:c r="D37" s="254"/>
      <x:c r="E37" s="254"/>
      <x:c r="F37" s="254"/>
      <x:c r="G37" s="254"/>
      <x:c r="H37" s="254"/>
      <x:c r="I37" s="254"/>
      <x:c r="J37" s="254"/>
      <x:c r="K37" s="254"/>
    </x:row>
    <x:row r="38">
      <x:c r="A38" s="254"/>
      <x:c r="B38" s="254"/>
      <x:c r="C38" s="254"/>
      <x:c r="D38" s="254"/>
      <x:c r="E38" s="254"/>
      <x:c r="F38" s="254"/>
      <x:c r="G38" s="254"/>
      <x:c r="H38" s="254"/>
      <x:c r="I38" s="254"/>
      <x:c r="J38" s="254"/>
      <x:c r="K38" s="254"/>
    </x:row>
    <x:row r="39">
      <x:c r="A39" s="254"/>
      <x:c r="B39" s="254"/>
      <x:c r="C39" s="254"/>
      <x:c r="D39" s="254"/>
      <x:c r="E39" s="254"/>
      <x:c r="F39" s="254"/>
      <x:c r="G39" s="254"/>
      <x:c r="H39" s="254"/>
      <x:c r="I39" s="254"/>
      <x:c r="J39" s="254"/>
      <x:c r="K39" s="254"/>
    </x:row>
    <x:row r="40">
      <x:c r="A40" s="254"/>
      <x:c r="B40" s="254"/>
      <x:c r="C40" s="254"/>
      <x:c r="D40" s="254"/>
      <x:c r="E40" s="254"/>
      <x:c r="F40" s="254"/>
      <x:c r="G40" s="254"/>
      <x:c r="H40" s="254"/>
      <x:c r="I40" s="254"/>
      <x:c r="J40" s="254"/>
      <x:c r="K40" s="254"/>
    </x:row>
    <x:row r="41">
      <x:c r="A41" s="254"/>
      <x:c r="B41" s="254"/>
      <x:c r="C41" s="254"/>
      <x:c r="D41" s="254"/>
      <x:c r="E41" s="254"/>
      <x:c r="F41" s="254"/>
      <x:c r="G41" s="254"/>
      <x:c r="H41" s="254"/>
      <x:c r="I41" s="254"/>
      <x:c r="J41" s="254"/>
      <x:c r="K41" s="254"/>
    </x:row>
    <x:row r="42">
      <x:c r="A42" s="254"/>
      <x:c r="B42" s="254"/>
      <x:c r="C42" s="254"/>
      <x:c r="D42" s="254"/>
      <x:c r="E42" s="254"/>
      <x:c r="F42" s="254"/>
      <x:c r="G42" s="254"/>
      <x:c r="H42" s="254"/>
      <x:c r="I42" s="254"/>
      <x:c r="J42" s="254"/>
      <x:c r="K42" s="254"/>
    </x:row>
    <x:row r="43">
      <x:c r="A43" s="254"/>
      <x:c r="B43" s="254"/>
      <x:c r="C43" s="254"/>
      <x:c r="D43" s="254"/>
      <x:c r="E43" s="254"/>
      <x:c r="F43" s="254"/>
      <x:c r="G43" s="254"/>
      <x:c r="H43" s="254"/>
      <x:c r="I43" s="254"/>
      <x:c r="J43" s="254"/>
      <x:c r="K43" s="254"/>
    </x:row>
    <x:row r="44">
      <x:c r="A44" s="254"/>
      <x:c r="B44" s="254"/>
      <x:c r="C44" s="254"/>
      <x:c r="D44" s="254"/>
      <x:c r="E44" s="254"/>
      <x:c r="F44" s="254"/>
      <x:c r="G44" s="254"/>
      <x:c r="H44" s="254"/>
      <x:c r="I44" s="254"/>
      <x:c r="J44" s="254"/>
      <x:c r="K44" s="254"/>
    </x:row>
    <x:row r="45">
      <x:c r="A45" s="254"/>
      <x:c r="B45" s="254"/>
      <x:c r="C45" s="254"/>
      <x:c r="D45" s="254"/>
      <x:c r="E45" s="254"/>
      <x:c r="F45" s="254"/>
      <x:c r="G45" s="254"/>
      <x:c r="H45" s="254"/>
      <x:c r="I45" s="254"/>
      <x:c r="J45" s="254"/>
      <x:c r="K45" s="254"/>
    </x:row>
    <x:row r="46">
      <x:c r="A46" s="254"/>
      <x:c r="B46" s="254"/>
      <x:c r="C46" s="254"/>
      <x:c r="D46" s="254"/>
      <x:c r="E46" s="254"/>
      <x:c r="F46" s="254"/>
      <x:c r="G46" s="254"/>
      <x:c r="H46" s="254"/>
      <x:c r="I46" s="254"/>
      <x:c r="J46" s="254"/>
      <x:c r="K46" s="254"/>
    </x:row>
    <x:row r="47">
      <x:c r="A47" s="254"/>
      <x:c r="B47" s="254"/>
      <x:c r="C47" s="254"/>
      <x:c r="D47" s="254"/>
      <x:c r="E47" s="254"/>
      <x:c r="F47" s="254"/>
      <x:c r="G47" s="254"/>
      <x:c r="H47" s="254"/>
      <x:c r="I47" s="254"/>
      <x:c r="J47" s="254"/>
      <x:c r="K47" s="254"/>
    </x:row>
    <x:row r="48">
      <x:c r="A48" s="254"/>
      <x:c r="B48" s="254"/>
      <x:c r="C48" s="254"/>
      <x:c r="D48" s="254"/>
      <x:c r="E48" s="254"/>
      <x:c r="F48" s="254"/>
      <x:c r="G48" s="254"/>
      <x:c r="H48" s="254"/>
      <x:c r="I48" s="254"/>
      <x:c r="J48" s="254"/>
      <x:c r="K48" s="254"/>
    </x:row>
    <x:row r="49">
      <x:c r="A49" s="254"/>
      <x:c r="B49" s="254"/>
      <x:c r="C49" s="254"/>
      <x:c r="D49" s="254"/>
      <x:c r="E49" s="254"/>
      <x:c r="F49" s="254"/>
      <x:c r="G49" s="254"/>
      <x:c r="H49" s="254"/>
      <x:c r="I49" s="254"/>
      <x:c r="J49" s="254"/>
      <x:c r="K49" s="254"/>
    </x:row>
    <x:row r="50">
      <x:c r="A50" s="254"/>
      <x:c r="B50" s="254"/>
      <x:c r="C50" s="254"/>
      <x:c r="D50" s="254"/>
      <x:c r="E50" s="254"/>
      <x:c r="F50" s="254"/>
      <x:c r="G50" s="254"/>
      <x:c r="H50" s="254"/>
      <x:c r="I50" s="254"/>
      <x:c r="J50" s="254"/>
      <x:c r="K50" s="254"/>
    </x:row>
    <x:row r="51">
      <x:c r="A51" s="254"/>
      <x:c r="B51" s="254"/>
      <x:c r="C51" s="254"/>
      <x:c r="D51" s="254"/>
      <x:c r="E51" s="254"/>
      <x:c r="F51" s="254"/>
      <x:c r="G51" s="254"/>
      <x:c r="H51" s="254"/>
      <x:c r="I51" s="254"/>
      <x:c r="J51" s="254"/>
      <x:c r="K51" s="254"/>
    </x:row>
    <x:row r="52">
      <x:c r="A52" s="254"/>
      <x:c r="B52" s="254"/>
      <x:c r="C52" s="254"/>
      <x:c r="D52" s="254"/>
      <x:c r="E52" s="254"/>
      <x:c r="F52" s="254"/>
      <x:c r="G52" s="254"/>
      <x:c r="H52" s="254"/>
      <x:c r="I52" s="254"/>
      <x:c r="J52" s="254"/>
      <x:c r="K52" s="254"/>
    </x:row>
    <x:row r="53">
      <x:c r="A53" s="254"/>
      <x:c r="B53" s="254"/>
      <x:c r="C53" s="254"/>
      <x:c r="D53" s="254"/>
      <x:c r="E53" s="254"/>
      <x:c r="F53" s="254"/>
      <x:c r="G53" s="254"/>
      <x:c r="H53" s="254"/>
      <x:c r="I53" s="254"/>
      <x:c r="J53" s="254"/>
      <x:c r="K53" s="254"/>
    </x:row>
    <x:row r="54">
      <x:c r="A54" s="254"/>
      <x:c r="B54" s="254"/>
      <x:c r="C54" s="254"/>
      <x:c r="D54" s="254"/>
      <x:c r="E54" s="254"/>
      <x:c r="F54" s="254"/>
      <x:c r="G54" s="254"/>
      <x:c r="H54" s="254"/>
      <x:c r="I54" s="254"/>
      <x:c r="J54" s="254"/>
      <x:c r="K54" s="254"/>
    </x:row>
    <x:row r="55">
      <x:c r="A55" s="254"/>
      <x:c r="B55" s="254"/>
      <x:c r="C55" s="254"/>
      <x:c r="D55" s="254"/>
      <x:c r="E55" s="254"/>
      <x:c r="F55" s="254"/>
      <x:c r="G55" s="254"/>
      <x:c r="H55" s="254"/>
      <x:c r="I55" s="254"/>
      <x:c r="J55" s="254"/>
      <x:c r="K55" s="254"/>
    </x:row>
    <x:row r="56">
      <x:c r="A56" s="254"/>
      <x:c r="B56" s="254"/>
      <x:c r="C56" s="254"/>
      <x:c r="D56" s="254"/>
      <x:c r="E56" s="254"/>
      <x:c r="F56" s="254"/>
      <x:c r="G56" s="254"/>
      <x:c r="H56" s="254"/>
      <x:c r="I56" s="254"/>
      <x:c r="J56" s="254"/>
      <x:c r="K56" s="254"/>
    </x:row>
    <x:row r="57">
      <x:c r="A57" s="254"/>
      <x:c r="B57" s="254"/>
      <x:c r="C57" s="254"/>
      <x:c r="D57" s="254"/>
      <x:c r="E57" s="254"/>
      <x:c r="F57" s="254"/>
      <x:c r="G57" s="254"/>
      <x:c r="H57" s="254"/>
      <x:c r="I57" s="254"/>
      <x:c r="J57" s="254"/>
      <x:c r="K57" s="254"/>
    </x:row>
    <x:row r="58">
      <x:c r="A58" s="254"/>
      <x:c r="B58" s="254"/>
      <x:c r="C58" s="254"/>
      <x:c r="D58" s="254"/>
      <x:c r="E58" s="254"/>
      <x:c r="F58" s="254"/>
      <x:c r="G58" s="254"/>
      <x:c r="H58" s="254"/>
      <x:c r="I58" s="254"/>
      <x:c r="J58" s="254"/>
      <x:c r="K58" s="254"/>
    </x:row>
    <x:row r="59">
      <x:c r="A59" s="254"/>
      <x:c r="B59" s="254"/>
      <x:c r="C59" s="254"/>
      <x:c r="D59" s="254"/>
      <x:c r="E59" s="254"/>
      <x:c r="F59" s="254"/>
      <x:c r="G59" s="254"/>
      <x:c r="H59" s="254"/>
      <x:c r="I59" s="254"/>
      <x:c r="J59" s="254"/>
      <x:c r="K59" s="254"/>
    </x:row>
    <x:row r="60">
      <x:c r="A60" s="254"/>
      <x:c r="B60" s="254"/>
      <x:c r="C60" s="254"/>
      <x:c r="D60" s="254"/>
      <x:c r="E60" s="254"/>
      <x:c r="F60" s="254"/>
      <x:c r="G60" s="254"/>
      <x:c r="H60" s="254"/>
      <x:c r="I60" s="254"/>
      <x:c r="J60" s="254"/>
      <x:c r="K60" s="254"/>
    </x:row>
    <x:row r="61">
      <x:c r="A61" s="254"/>
      <x:c r="B61" s="254"/>
      <x:c r="C61" s="254"/>
      <x:c r="D61" s="254"/>
      <x:c r="E61" s="254"/>
      <x:c r="F61" s="254"/>
      <x:c r="G61" s="254"/>
      <x:c r="H61" s="254"/>
      <x:c r="I61" s="254"/>
      <x:c r="J61" s="254"/>
      <x:c r="K61" s="254"/>
    </x:row>
    <x:row r="62">
      <x:c r="A62" s="254"/>
      <x:c r="B62" s="254"/>
      <x:c r="C62" s="254"/>
      <x:c r="D62" s="254"/>
      <x:c r="E62" s="254"/>
      <x:c r="F62" s="254"/>
      <x:c r="G62" s="254"/>
      <x:c r="H62" s="254"/>
      <x:c r="I62" s="254"/>
      <x:c r="J62" s="254"/>
      <x:c r="K62" s="254"/>
    </x:row>
    <x:row r="63">
      <x:c r="A63" s="254"/>
      <x:c r="B63" s="254"/>
      <x:c r="C63" s="254"/>
      <x:c r="D63" s="254"/>
      <x:c r="E63" s="254"/>
      <x:c r="F63" s="254"/>
      <x:c r="G63" s="254"/>
      <x:c r="H63" s="254"/>
      <x:c r="I63" s="254"/>
      <x:c r="J63" s="254"/>
      <x:c r="K63" s="254"/>
    </x:row>
    <x:row r="64">
      <x:c r="A64" s="254"/>
      <x:c r="B64" s="254"/>
      <x:c r="C64" s="254"/>
      <x:c r="D64" s="254"/>
      <x:c r="E64" s="254"/>
      <x:c r="F64" s="254"/>
      <x:c r="G64" s="254"/>
      <x:c r="H64" s="254"/>
      <x:c r="I64" s="254"/>
      <x:c r="J64" s="254"/>
      <x:c r="K64" s="254"/>
    </x:row>
    <x:row r="65">
      <x:c r="A65" s="254"/>
      <x:c r="B65" s="254"/>
      <x:c r="C65" s="254"/>
      <x:c r="D65" s="254"/>
      <x:c r="E65" s="254"/>
      <x:c r="F65" s="254"/>
      <x:c r="G65" s="254"/>
      <x:c r="H65" s="254"/>
      <x:c r="I65" s="254"/>
      <x:c r="J65" s="254"/>
      <x:c r="K65" s="254"/>
    </x:row>
    <x:row r="66">
      <x:c r="A66" s="254"/>
      <x:c r="B66" s="254"/>
      <x:c r="C66" s="254"/>
      <x:c r="D66" s="254"/>
      <x:c r="E66" s="254"/>
      <x:c r="F66" s="254"/>
      <x:c r="G66" s="254"/>
      <x:c r="H66" s="254"/>
      <x:c r="I66" s="254"/>
      <x:c r="J66" s="254"/>
      <x:c r="K66" s="254"/>
    </x:row>
    <x:row r="67">
      <x:c r="A67" s="254"/>
      <x:c r="B67" s="254"/>
      <x:c r="C67" s="254"/>
      <x:c r="D67" s="254"/>
      <x:c r="E67" s="254"/>
      <x:c r="F67" s="254"/>
      <x:c r="G67" s="254"/>
      <x:c r="H67" s="254"/>
      <x:c r="I67" s="254"/>
      <x:c r="J67" s="254"/>
      <x:c r="K67" s="254"/>
    </x:row>
    <x:row r="68">
      <x:c r="A68" s="254"/>
      <x:c r="B68" s="254"/>
      <x:c r="C68" s="254"/>
      <x:c r="D68" s="254"/>
      <x:c r="E68" s="254"/>
      <x:c r="F68" s="254"/>
      <x:c r="G68" s="254"/>
      <x:c r="H68" s="254"/>
      <x:c r="I68" s="254"/>
      <x:c r="J68" s="254"/>
      <x:c r="K68" s="254"/>
    </x:row>
    <x:row r="69">
      <x:c r="A69" s="254"/>
      <x:c r="B69" s="254"/>
      <x:c r="C69" s="254"/>
      <x:c r="D69" s="254"/>
      <x:c r="E69" s="254"/>
      <x:c r="F69" s="254"/>
      <x:c r="G69" s="254"/>
      <x:c r="H69" s="254"/>
      <x:c r="I69" s="254"/>
      <x:c r="J69" s="254"/>
      <x:c r="K69" s="254"/>
    </x:row>
    <x:row r="70">
      <x:c r="A70" s="254"/>
      <x:c r="B70" s="254"/>
      <x:c r="C70" s="254"/>
      <x:c r="D70" s="254"/>
      <x:c r="E70" s="254"/>
      <x:c r="F70" s="254"/>
      <x:c r="G70" s="254"/>
      <x:c r="H70" s="254"/>
      <x:c r="I70" s="254"/>
      <x:c r="J70" s="254"/>
      <x:c r="K70" s="254"/>
    </x:row>
    <x:row r="71">
      <x:c r="A71" s="254"/>
      <x:c r="B71" s="254"/>
      <x:c r="C71" s="254"/>
      <x:c r="D71" s="254"/>
      <x:c r="E71" s="254"/>
      <x:c r="F71" s="254"/>
      <x:c r="G71" s="254"/>
      <x:c r="H71" s="254"/>
      <x:c r="I71" s="254"/>
      <x:c r="J71" s="254"/>
      <x:c r="K71" s="254"/>
    </x:row>
    <x:row r="72">
      <x:c r="A72" s="254"/>
      <x:c r="B72" s="254"/>
      <x:c r="C72" s="254"/>
      <x:c r="D72" s="254"/>
      <x:c r="E72" s="254"/>
      <x:c r="F72" s="254"/>
      <x:c r="G72" s="254"/>
      <x:c r="H72" s="254"/>
      <x:c r="I72" s="254"/>
      <x:c r="J72" s="254"/>
      <x:c r="K72" s="254"/>
    </x:row>
    <x:row r="73">
      <x:c r="A73" s="254"/>
      <x:c r="B73" s="254"/>
      <x:c r="C73" s="254"/>
      <x:c r="D73" s="254"/>
      <x:c r="E73" s="254"/>
      <x:c r="F73" s="254"/>
      <x:c r="G73" s="254"/>
      <x:c r="H73" s="254"/>
      <x:c r="I73" s="254"/>
      <x:c r="J73" s="254"/>
      <x:c r="K73" s="254"/>
    </x:row>
    <x:row r="74">
      <x:c r="A74" s="254"/>
      <x:c r="B74" s="254"/>
      <x:c r="C74" s="254"/>
      <x:c r="D74" s="254"/>
      <x:c r="E74" s="254"/>
      <x:c r="F74" s="254"/>
      <x:c r="G74" s="254"/>
      <x:c r="H74" s="254"/>
      <x:c r="I74" s="254"/>
      <x:c r="J74" s="254"/>
      <x:c r="K74" s="254"/>
    </x:row>
    <x:row r="75">
      <x:c r="A75" s="254"/>
      <x:c r="B75" s="254"/>
      <x:c r="C75" s="254"/>
      <x:c r="D75" s="254"/>
      <x:c r="E75" s="254"/>
      <x:c r="F75" s="254"/>
      <x:c r="G75" s="254"/>
      <x:c r="H75" s="254"/>
      <x:c r="I75" s="254"/>
      <x:c r="J75" s="254"/>
      <x:c r="K75" s="254"/>
    </x:row>
    <x:row r="76">
      <x:c r="A76" s="254"/>
      <x:c r="B76" s="254"/>
      <x:c r="C76" s="254"/>
      <x:c r="D76" s="254"/>
      <x:c r="E76" s="254"/>
      <x:c r="F76" s="254"/>
      <x:c r="G76" s="254"/>
      <x:c r="H76" s="254"/>
      <x:c r="I76" s="254"/>
      <x:c r="J76" s="254"/>
      <x:c r="K76" s="254"/>
    </x:row>
    <x:row r="77">
      <x:c r="A77" s="254"/>
      <x:c r="B77" s="254"/>
      <x:c r="C77" s="254"/>
      <x:c r="D77" s="254"/>
      <x:c r="E77" s="254"/>
      <x:c r="F77" s="254"/>
      <x:c r="G77" s="254"/>
      <x:c r="H77" s="254"/>
      <x:c r="I77" s="254"/>
      <x:c r="J77" s="254"/>
      <x:c r="K77" s="254"/>
    </x:row>
    <x:row r="78">
      <x:c r="A78" s="254"/>
      <x:c r="B78" s="254"/>
      <x:c r="C78" s="254"/>
      <x:c r="D78" s="254"/>
      <x:c r="E78" s="254"/>
      <x:c r="F78" s="254"/>
      <x:c r="G78" s="254"/>
      <x:c r="H78" s="254"/>
      <x:c r="I78" s="254"/>
      <x:c r="J78" s="254"/>
      <x:c r="K78" s="254"/>
    </x:row>
    <x:row r="79">
      <x:c r="A79" s="254"/>
      <x:c r="B79" s="254"/>
      <x:c r="C79" s="254"/>
      <x:c r="D79" s="254"/>
      <x:c r="E79" s="254"/>
      <x:c r="F79" s="254"/>
      <x:c r="G79" s="254"/>
      <x:c r="H79" s="254"/>
      <x:c r="I79" s="254"/>
      <x:c r="J79" s="254"/>
      <x:c r="K79" s="254"/>
    </x:row>
    <x:row r="80">
      <x:c r="A80" s="254"/>
      <x:c r="B80" s="254"/>
      <x:c r="C80" s="254"/>
      <x:c r="D80" s="254"/>
      <x:c r="E80" s="254"/>
      <x:c r="F80" s="254"/>
      <x:c r="G80" s="254"/>
      <x:c r="H80" s="254"/>
      <x:c r="I80" s="254"/>
      <x:c r="J80" s="254"/>
      <x:c r="K80" s="254"/>
    </x:row>
    <x:row r="81">
      <x:c r="A81" s="254"/>
      <x:c r="B81" s="254"/>
      <x:c r="C81" s="254"/>
      <x:c r="D81" s="254"/>
      <x:c r="E81" s="254"/>
      <x:c r="F81" s="254"/>
      <x:c r="G81" s="254"/>
      <x:c r="H81" s="254"/>
      <x:c r="I81" s="254"/>
      <x:c r="J81" s="254"/>
      <x:c r="K81" s="254"/>
    </x:row>
    <x:row r="82">
      <x:c r="A82" s="254"/>
      <x:c r="B82" s="254"/>
      <x:c r="C82" s="254"/>
      <x:c r="D82" s="254"/>
      <x:c r="E82" s="254"/>
      <x:c r="F82" s="254"/>
      <x:c r="G82" s="254"/>
      <x:c r="H82" s="254"/>
      <x:c r="I82" s="254"/>
      <x:c r="J82" s="254"/>
      <x:c r="K82" s="254"/>
    </x:row>
    <x:row r="83">
      <x:c r="A83" s="254"/>
      <x:c r="B83" s="254"/>
      <x:c r="C83" s="254"/>
      <x:c r="D83" s="254"/>
      <x:c r="E83" s="254"/>
      <x:c r="F83" s="254"/>
      <x:c r="G83" s="254"/>
      <x:c r="H83" s="254"/>
      <x:c r="I83" s="254"/>
      <x:c r="J83" s="254"/>
      <x:c r="K83" s="254"/>
    </x:row>
    <x:row r="84">
      <x:c r="A84" s="254"/>
      <x:c r="B84" s="254"/>
      <x:c r="C84" s="254"/>
      <x:c r="D84" s="254"/>
      <x:c r="E84" s="254"/>
      <x:c r="F84" s="254"/>
      <x:c r="G84" s="254"/>
      <x:c r="H84" s="254"/>
      <x:c r="I84" s="254"/>
      <x:c r="J84" s="254"/>
      <x:c r="K84" s="254"/>
    </x:row>
    <x:row r="85">
      <x:c r="A85" s="254"/>
      <x:c r="B85" s="254"/>
      <x:c r="C85" s="254"/>
      <x:c r="D85" s="254"/>
      <x:c r="E85" s="254"/>
      <x:c r="F85" s="254"/>
      <x:c r="G85" s="254"/>
      <x:c r="H85" s="254"/>
      <x:c r="I85" s="254"/>
      <x:c r="J85" s="254"/>
      <x:c r="K85" s="254"/>
    </x:row>
    <x:row r="86">
      <x:c r="A86" s="254"/>
      <x:c r="B86" s="254"/>
      <x:c r="C86" s="254"/>
      <x:c r="D86" s="254"/>
      <x:c r="E86" s="254"/>
      <x:c r="F86" s="254"/>
      <x:c r="G86" s="254"/>
      <x:c r="H86" s="254"/>
      <x:c r="I86" s="254"/>
      <x:c r="J86" s="254"/>
      <x:c r="K86" s="254"/>
    </x:row>
    <x:row r="87">
      <x:c r="A87" s="254"/>
      <x:c r="B87" s="254"/>
      <x:c r="C87" s="254"/>
      <x:c r="D87" s="254"/>
      <x:c r="E87" s="254"/>
      <x:c r="F87" s="254"/>
      <x:c r="G87" s="254"/>
      <x:c r="H87" s="254"/>
      <x:c r="I87" s="254"/>
      <x:c r="J87" s="254"/>
      <x:c r="K87" s="254"/>
    </x:row>
    <x:row r="88">
      <x:c r="A88" s="254"/>
      <x:c r="B88" s="254"/>
      <x:c r="C88" s="254"/>
      <x:c r="D88" s="254"/>
      <x:c r="E88" s="254"/>
      <x:c r="F88" s="254"/>
      <x:c r="G88" s="254"/>
      <x:c r="H88" s="254"/>
      <x:c r="I88" s="254"/>
      <x:c r="J88" s="254"/>
      <x:c r="K88" s="254"/>
    </x:row>
    <x:row r="89">
      <x:c r="A89" s="254"/>
      <x:c r="B89" s="254"/>
      <x:c r="C89" s="254"/>
      <x:c r="D89" s="254"/>
      <x:c r="E89" s="254"/>
      <x:c r="F89" s="254"/>
      <x:c r="G89" s="254"/>
      <x:c r="H89" s="254"/>
      <x:c r="I89" s="254"/>
      <x:c r="J89" s="254"/>
      <x:c r="K89" s="254"/>
    </x:row>
    <x:row r="90">
      <x:c r="A90" s="254"/>
      <x:c r="B90" s="254"/>
      <x:c r="C90" s="254"/>
      <x:c r="D90" s="254"/>
      <x:c r="E90" s="254"/>
      <x:c r="F90" s="254"/>
      <x:c r="G90" s="254"/>
      <x:c r="H90" s="254"/>
      <x:c r="I90" s="254"/>
      <x:c r="J90" s="254"/>
      <x:c r="K90" s="254"/>
    </x:row>
    <x:row r="91">
      <x:c r="A91" s="254"/>
      <x:c r="B91" s="254"/>
      <x:c r="C91" s="254"/>
      <x:c r="D91" s="254"/>
      <x:c r="E91" s="254"/>
      <x:c r="F91" s="254"/>
      <x:c r="G91" s="254"/>
      <x:c r="H91" s="254"/>
      <x:c r="I91" s="254"/>
      <x:c r="J91" s="254"/>
      <x:c r="K91" s="254"/>
    </x:row>
    <x:row r="92">
      <x:c r="A92" s="254"/>
      <x:c r="B92" s="254"/>
      <x:c r="C92" s="254"/>
      <x:c r="D92" s="254"/>
      <x:c r="E92" s="254"/>
      <x:c r="F92" s="254"/>
      <x:c r="G92" s="254"/>
      <x:c r="H92" s="254"/>
      <x:c r="I92" s="254"/>
      <x:c r="J92" s="254"/>
      <x:c r="K92" s="254"/>
    </x:row>
    <x:row r="93">
      <x:c r="A93" s="254"/>
      <x:c r="B93" s="254"/>
      <x:c r="C93" s="254"/>
      <x:c r="D93" s="254"/>
      <x:c r="E93" s="254"/>
      <x:c r="F93" s="254"/>
      <x:c r="G93" s="254"/>
      <x:c r="H93" s="254"/>
      <x:c r="I93" s="254"/>
      <x:c r="J93" s="254"/>
      <x:c r="K93" s="254"/>
    </x:row>
    <x:row r="94">
      <x:c r="A94" s="254"/>
      <x:c r="B94" s="254"/>
      <x:c r="C94" s="254"/>
      <x:c r="D94" s="254"/>
      <x:c r="E94" s="254"/>
      <x:c r="F94" s="254"/>
      <x:c r="G94" s="254"/>
      <x:c r="H94" s="254"/>
      <x:c r="I94" s="254"/>
      <x:c r="J94" s="254"/>
      <x:c r="K94" s="254"/>
    </x:row>
    <x:row r="95">
      <x:c r="A95" s="254"/>
      <x:c r="B95" s="254"/>
      <x:c r="C95" s="254"/>
      <x:c r="D95" s="254"/>
      <x:c r="E95" s="254"/>
      <x:c r="F95" s="254"/>
      <x:c r="G95" s="254"/>
      <x:c r="H95" s="254"/>
      <x:c r="I95" s="254"/>
      <x:c r="J95" s="254"/>
      <x:c r="K95" s="254"/>
    </x:row>
    <x:row r="96">
      <x:c r="A96" s="254"/>
      <x:c r="B96" s="254"/>
      <x:c r="C96" s="254"/>
      <x:c r="D96" s="254"/>
      <x:c r="E96" s="254"/>
      <x:c r="F96" s="254"/>
      <x:c r="G96" s="254"/>
      <x:c r="H96" s="254"/>
      <x:c r="I96" s="254"/>
      <x:c r="J96" s="254"/>
      <x:c r="K96" s="254"/>
    </x:row>
    <x:row r="97">
      <x:c r="A97" s="254"/>
      <x:c r="B97" s="254"/>
      <x:c r="C97" s="254"/>
      <x:c r="D97" s="254"/>
      <x:c r="E97" s="254"/>
      <x:c r="F97" s="254"/>
      <x:c r="G97" s="254"/>
      <x:c r="H97" s="254"/>
      <x:c r="I97" s="254"/>
      <x:c r="J97" s="254"/>
      <x:c r="K97" s="254"/>
    </x:row>
    <x:row r="98">
      <x:c r="A98" s="254"/>
      <x:c r="B98" s="254"/>
      <x:c r="C98" s="254"/>
      <x:c r="D98" s="254"/>
      <x:c r="E98" s="254"/>
      <x:c r="F98" s="254"/>
      <x:c r="G98" s="254"/>
      <x:c r="H98" s="254"/>
      <x:c r="I98" s="254"/>
      <x:c r="J98" s="254"/>
      <x:c r="K98" s="254"/>
    </x:row>
    <x:row r="99">
      <x:c r="A99" s="254"/>
      <x:c r="B99" s="254"/>
      <x:c r="C99" s="254"/>
      <x:c r="D99" s="254"/>
      <x:c r="E99" s="254"/>
      <x:c r="F99" s="254"/>
      <x:c r="G99" s="254"/>
      <x:c r="H99" s="254"/>
      <x:c r="I99" s="254"/>
      <x:c r="J99" s="254"/>
      <x:c r="K99" s="254"/>
    </x:row>
    <x:row r="100">
      <x:c r="A100" s="254"/>
      <x:c r="B100" s="254"/>
      <x:c r="C100" s="254"/>
      <x:c r="D100" s="254"/>
      <x:c r="E100" s="254"/>
      <x:c r="F100" s="254"/>
      <x:c r="G100" s="254"/>
      <x:c r="H100" s="254"/>
      <x:c r="I100" s="254"/>
      <x:c r="J100" s="254"/>
      <x:c r="K100" s="254"/>
    </x:row>
    <x:row r="101">
      <x:c r="A101" s="254"/>
      <x:c r="B101" s="254"/>
      <x:c r="C101" s="254"/>
      <x:c r="D101" s="254"/>
      <x:c r="E101" s="254"/>
      <x:c r="F101" s="254"/>
      <x:c r="G101" s="254"/>
      <x:c r="H101" s="254"/>
      <x:c r="I101" s="254"/>
      <x:c r="J101" s="254"/>
      <x:c r="K101" s="254"/>
    </x:row>
    <x:row r="102">
      <x:c r="A102" s="254"/>
      <x:c r="B102" s="254"/>
      <x:c r="C102" s="254"/>
      <x:c r="D102" s="254"/>
      <x:c r="E102" s="254"/>
      <x:c r="F102" s="254"/>
      <x:c r="G102" s="254"/>
      <x:c r="H102" s="254"/>
      <x:c r="I102" s="254"/>
      <x:c r="J102" s="254"/>
      <x:c r="K102" s="254"/>
    </x:row>
    <x:row r="103">
      <x:c r="A103" s="254"/>
      <x:c r="B103" s="254"/>
      <x:c r="C103" s="254"/>
      <x:c r="D103" s="254"/>
      <x:c r="E103" s="254"/>
      <x:c r="F103" s="254"/>
      <x:c r="G103" s="254"/>
      <x:c r="H103" s="254"/>
      <x:c r="I103" s="254"/>
      <x:c r="J103" s="254"/>
      <x:c r="K103" s="254"/>
    </x:row>
    <x:row r="104">
      <x:c r="A104" s="254"/>
      <x:c r="B104" s="254"/>
      <x:c r="C104" s="254"/>
      <x:c r="D104" s="254"/>
      <x:c r="E104" s="254"/>
      <x:c r="F104" s="254"/>
      <x:c r="G104" s="254"/>
      <x:c r="H104" s="254"/>
      <x:c r="I104" s="254"/>
      <x:c r="J104" s="254"/>
      <x:c r="K104" s="254"/>
    </x:row>
    <x:row r="105">
      <x:c r="A105" s="254"/>
      <x:c r="B105" s="254"/>
      <x:c r="C105" s="254"/>
      <x:c r="D105" s="254"/>
      <x:c r="E105" s="254"/>
      <x:c r="F105" s="254"/>
      <x:c r="G105" s="254"/>
      <x:c r="H105" s="254"/>
      <x:c r="I105" s="254"/>
      <x:c r="J105" s="254"/>
      <x:c r="K105" s="254"/>
    </x:row>
    <x:row r="106">
      <x:c r="A106" s="254"/>
      <x:c r="B106" s="254"/>
      <x:c r="C106" s="254"/>
      <x:c r="D106" s="254"/>
      <x:c r="E106" s="254"/>
      <x:c r="F106" s="254"/>
      <x:c r="G106" s="254"/>
      <x:c r="H106" s="254"/>
      <x:c r="I106" s="254"/>
      <x:c r="J106" s="254"/>
      <x:c r="K106" s="254"/>
    </x:row>
    <x:row r="107">
      <x:c r="A107" s="254"/>
      <x:c r="B107" s="254"/>
      <x:c r="C107" s="254"/>
      <x:c r="D107" s="254"/>
      <x:c r="E107" s="254"/>
      <x:c r="F107" s="254"/>
      <x:c r="G107" s="254"/>
      <x:c r="H107" s="254"/>
      <x:c r="I107" s="254"/>
      <x:c r="J107" s="254"/>
      <x:c r="K107" s="254"/>
    </x:row>
    <x:row r="108">
      <x:c r="A108" s="254"/>
      <x:c r="B108" s="254"/>
      <x:c r="C108" s="254"/>
      <x:c r="D108" s="254"/>
      <x:c r="E108" s="254"/>
      <x:c r="F108" s="254"/>
      <x:c r="G108" s="254"/>
      <x:c r="H108" s="254"/>
      <x:c r="I108" s="254"/>
      <x:c r="J108" s="254"/>
      <x:c r="K108" s="254"/>
    </x:row>
    <x:row r="109">
      <x:c r="A109" s="254"/>
      <x:c r="B109" s="254"/>
      <x:c r="C109" s="254"/>
      <x:c r="D109" s="254"/>
      <x:c r="E109" s="254"/>
      <x:c r="F109" s="254"/>
      <x:c r="G109" s="254"/>
      <x:c r="H109" s="254"/>
      <x:c r="I109" s="254"/>
      <x:c r="J109" s="254"/>
      <x:c r="K109" s="254"/>
    </x:row>
    <x:row r="110">
      <x:c r="A110" s="254"/>
      <x:c r="B110" s="254"/>
      <x:c r="C110" s="254"/>
      <x:c r="D110" s="254"/>
      <x:c r="E110" s="254"/>
      <x:c r="F110" s="254"/>
      <x:c r="G110" s="254"/>
      <x:c r="H110" s="254"/>
      <x:c r="I110" s="254"/>
      <x:c r="J110" s="254"/>
      <x:c r="K110" s="254"/>
    </x:row>
    <x:row r="111">
      <x:c r="A111" s="254"/>
      <x:c r="B111" s="254"/>
      <x:c r="C111" s="254"/>
      <x:c r="D111" s="254"/>
      <x:c r="E111" s="254"/>
      <x:c r="F111" s="254"/>
      <x:c r="G111" s="254"/>
      <x:c r="H111" s="254"/>
      <x:c r="I111" s="254"/>
      <x:c r="J111" s="254"/>
      <x:c r="K111" s="254"/>
    </x:row>
    <x:row r="112">
      <x:c r="A112" s="254"/>
      <x:c r="B112" s="254"/>
      <x:c r="C112" s="254"/>
      <x:c r="D112" s="254"/>
      <x:c r="E112" s="254"/>
      <x:c r="F112" s="254"/>
      <x:c r="G112" s="254"/>
      <x:c r="H112" s="254"/>
      <x:c r="I112" s="254"/>
      <x:c r="J112" s="254"/>
      <x:c r="K112" s="254"/>
    </x:row>
    <x:row r="113">
      <x:c r="A113" s="254"/>
      <x:c r="B113" s="254"/>
      <x:c r="C113" s="254"/>
      <x:c r="D113" s="254"/>
      <x:c r="E113" s="254"/>
      <x:c r="F113" s="254"/>
      <x:c r="G113" s="254"/>
      <x:c r="H113" s="254"/>
      <x:c r="I113" s="254"/>
      <x:c r="J113" s="254"/>
      <x:c r="K113" s="254"/>
    </x:row>
    <x:row r="114">
      <x:c r="A114" s="254"/>
      <x:c r="B114" s="254"/>
      <x:c r="C114" s="254"/>
      <x:c r="D114" s="254"/>
      <x:c r="E114" s="254"/>
      <x:c r="F114" s="254"/>
      <x:c r="G114" s="254"/>
      <x:c r="H114" s="254"/>
      <x:c r="I114" s="254"/>
      <x:c r="J114" s="254"/>
      <x:c r="K114" s="254"/>
    </x:row>
    <x:row r="115">
      <x:c r="A115" s="254"/>
      <x:c r="B115" s="254"/>
      <x:c r="C115" s="254"/>
      <x:c r="D115" s="254"/>
      <x:c r="E115" s="254"/>
      <x:c r="F115" s="254"/>
      <x:c r="G115" s="254"/>
      <x:c r="H115" s="254"/>
      <x:c r="I115" s="254"/>
      <x:c r="J115" s="254"/>
      <x:c r="K115" s="254"/>
    </x:row>
    <x:row r="116">
      <x:c r="A116" s="254"/>
      <x:c r="B116" s="254"/>
      <x:c r="C116" s="254"/>
      <x:c r="D116" s="254"/>
      <x:c r="E116" s="254"/>
      <x:c r="F116" s="254"/>
      <x:c r="G116" s="254"/>
      <x:c r="H116" s="254"/>
      <x:c r="I116" s="254"/>
      <x:c r="J116" s="254"/>
      <x:c r="K116" s="254"/>
    </x:row>
    <x:row r="117">
      <x:c r="A117" s="254"/>
      <x:c r="B117" s="254"/>
      <x:c r="C117" s="254"/>
      <x:c r="D117" s="254"/>
      <x:c r="E117" s="254"/>
      <x:c r="F117" s="254"/>
      <x:c r="G117" s="254"/>
      <x:c r="H117" s="254"/>
      <x:c r="I117" s="254"/>
      <x:c r="J117" s="254"/>
      <x:c r="K117" s="254"/>
    </x:row>
    <x:row r="118">
      <x:c r="A118" s="254"/>
      <x:c r="B118" s="254"/>
      <x:c r="C118" s="254"/>
      <x:c r="D118" s="254"/>
      <x:c r="E118" s="254"/>
      <x:c r="F118" s="254"/>
      <x:c r="G118" s="254"/>
      <x:c r="H118" s="254"/>
      <x:c r="I118" s="254"/>
      <x:c r="J118" s="254"/>
      <x:c r="K118" s="254"/>
    </x:row>
    <x:row r="119">
      <x:c r="A119" s="254"/>
      <x:c r="B119" s="254"/>
      <x:c r="C119" s="254"/>
      <x:c r="D119" s="254"/>
      <x:c r="E119" s="254"/>
      <x:c r="F119" s="254"/>
      <x:c r="G119" s="254"/>
      <x:c r="H119" s="254"/>
      <x:c r="I119" s="254"/>
      <x:c r="J119" s="254"/>
      <x:c r="K119" s="254"/>
    </x:row>
    <x:row r="120">
      <x:c r="A120" s="254"/>
      <x:c r="B120" s="254"/>
      <x:c r="C120" s="254"/>
      <x:c r="D120" s="254"/>
      <x:c r="E120" s="254"/>
      <x:c r="F120" s="254"/>
      <x:c r="G120" s="254"/>
      <x:c r="H120" s="254"/>
      <x:c r="I120" s="254"/>
      <x:c r="J120" s="254"/>
      <x:c r="K120" s="254"/>
    </x:row>
    <x:row r="121">
      <x:c r="A121" s="254"/>
      <x:c r="B121" s="254"/>
      <x:c r="C121" s="254"/>
      <x:c r="D121" s="254"/>
      <x:c r="E121" s="254"/>
      <x:c r="F121" s="254"/>
      <x:c r="G121" s="254"/>
      <x:c r="H121" s="254"/>
      <x:c r="I121" s="254"/>
      <x:c r="J121" s="254"/>
      <x:c r="K121" s="254"/>
    </x:row>
    <x:row r="122">
      <x:c r="A122" s="254"/>
      <x:c r="B122" s="254"/>
      <x:c r="C122" s="254"/>
      <x:c r="D122" s="254"/>
      <x:c r="E122" s="254"/>
      <x:c r="F122" s="254"/>
      <x:c r="G122" s="254"/>
      <x:c r="H122" s="254"/>
      <x:c r="I122" s="254"/>
      <x:c r="J122" s="254"/>
      <x:c r="K122" s="254"/>
    </x:row>
    <x:row r="123">
      <x:c r="A123" s="254"/>
      <x:c r="B123" s="254"/>
      <x:c r="C123" s="254"/>
      <x:c r="D123" s="254"/>
      <x:c r="E123" s="254"/>
      <x:c r="F123" s="254"/>
      <x:c r="G123" s="254"/>
      <x:c r="H123" s="254"/>
      <x:c r="I123" s="254"/>
      <x:c r="J123" s="254"/>
      <x:c r="K123" s="254"/>
    </x:row>
    <x:row r="124">
      <x:c r="A124" s="254"/>
      <x:c r="B124" s="254"/>
      <x:c r="C124" s="254"/>
      <x:c r="D124" s="254"/>
      <x:c r="E124" s="254"/>
      <x:c r="F124" s="254"/>
      <x:c r="G124" s="254"/>
      <x:c r="H124" s="254"/>
      <x:c r="I124" s="254"/>
      <x:c r="J124" s="254"/>
      <x:c r="K124" s="254"/>
    </x:row>
    <x:row r="125">
      <x:c r="A125" s="254"/>
      <x:c r="B125" s="254"/>
      <x:c r="C125" s="254"/>
      <x:c r="D125" s="254"/>
      <x:c r="E125" s="254"/>
      <x:c r="F125" s="254"/>
      <x:c r="G125" s="254"/>
      <x:c r="H125" s="254"/>
      <x:c r="I125" s="254"/>
      <x:c r="J125" s="254"/>
      <x:c r="K125" s="254"/>
    </x:row>
    <x:row r="126">
      <x:c r="A126" s="254"/>
      <x:c r="B126" s="254"/>
      <x:c r="C126" s="254"/>
      <x:c r="D126" s="254"/>
      <x:c r="E126" s="254"/>
      <x:c r="F126" s="254"/>
      <x:c r="G126" s="254"/>
      <x:c r="H126" s="254"/>
      <x:c r="I126" s="254"/>
      <x:c r="J126" s="254"/>
      <x:c r="K126" s="254"/>
    </x:row>
    <x:row r="127">
      <x:c r="A127" s="254"/>
      <x:c r="B127" s="254"/>
      <x:c r="C127" s="254"/>
      <x:c r="D127" s="254"/>
      <x:c r="E127" s="254"/>
      <x:c r="F127" s="254"/>
      <x:c r="G127" s="254"/>
      <x:c r="H127" s="254"/>
      <x:c r="I127" s="254"/>
      <x:c r="J127" s="254"/>
      <x:c r="K127" s="254"/>
    </x:row>
    <x:row r="128">
      <x:c r="A128" s="254"/>
      <x:c r="B128" s="254"/>
      <x:c r="C128" s="254"/>
      <x:c r="D128" s="254"/>
      <x:c r="E128" s="254"/>
      <x:c r="F128" s="254"/>
      <x:c r="G128" s="254"/>
      <x:c r="H128" s="254"/>
      <x:c r="I128" s="254"/>
      <x:c r="J128" s="254"/>
      <x:c r="K128" s="254"/>
    </x:row>
    <x:row r="129">
      <x:c r="A129" s="254"/>
      <x:c r="B129" s="254"/>
      <x:c r="C129" s="254"/>
      <x:c r="D129" s="254"/>
      <x:c r="E129" s="254"/>
      <x:c r="F129" s="254"/>
      <x:c r="G129" s="254"/>
      <x:c r="H129" s="254"/>
      <x:c r="I129" s="254"/>
      <x:c r="J129" s="254"/>
      <x:c r="K129" s="254"/>
    </x:row>
    <x:row r="130">
      <x:c r="A130" s="254"/>
      <x:c r="B130" s="254"/>
      <x:c r="C130" s="254"/>
      <x:c r="D130" s="254"/>
      <x:c r="E130" s="254"/>
      <x:c r="F130" s="254"/>
      <x:c r="G130" s="254"/>
      <x:c r="H130" s="254"/>
      <x:c r="I130" s="254"/>
      <x:c r="J130" s="254"/>
      <x:c r="K130" s="254"/>
    </x:row>
    <x:row r="131">
      <x:c r="A131" s="254"/>
      <x:c r="B131" s="254"/>
      <x:c r="C131" s="254"/>
      <x:c r="D131" s="254"/>
      <x:c r="E131" s="254"/>
      <x:c r="F131" s="254"/>
      <x:c r="G131" s="254"/>
      <x:c r="H131" s="254"/>
      <x:c r="I131" s="254"/>
      <x:c r="J131" s="254"/>
      <x:c r="K131" s="254"/>
    </x:row>
    <x:row r="132">
      <x:c r="A132" s="254"/>
      <x:c r="B132" s="254"/>
      <x:c r="C132" s="254"/>
      <x:c r="D132" s="254"/>
      <x:c r="E132" s="254"/>
      <x:c r="F132" s="254"/>
      <x:c r="G132" s="254"/>
      <x:c r="H132" s="254"/>
      <x:c r="I132" s="254"/>
      <x:c r="J132" s="254"/>
      <x:c r="K132" s="254"/>
    </x:row>
    <x:row r="133">
      <x:c r="A133" s="254"/>
      <x:c r="B133" s="254"/>
      <x:c r="C133" s="254"/>
      <x:c r="D133" s="254"/>
      <x:c r="E133" s="254"/>
      <x:c r="F133" s="254"/>
      <x:c r="G133" s="254"/>
      <x:c r="H133" s="254"/>
      <x:c r="I133" s="254"/>
      <x:c r="J133" s="254"/>
      <x:c r="K133" s="254"/>
    </x:row>
    <x:row r="134">
      <x:c r="A134" s="254"/>
      <x:c r="B134" s="254"/>
      <x:c r="C134" s="254"/>
      <x:c r="D134" s="254"/>
      <x:c r="E134" s="254"/>
      <x:c r="F134" s="254"/>
      <x:c r="G134" s="254"/>
      <x:c r="H134" s="254"/>
      <x:c r="I134" s="254"/>
      <x:c r="J134" s="254"/>
      <x:c r="K134" s="254"/>
    </x:row>
    <x:row r="135">
      <x:c r="A135" s="254"/>
      <x:c r="B135" s="254"/>
      <x:c r="C135" s="254"/>
      <x:c r="D135" s="254"/>
      <x:c r="E135" s="254"/>
      <x:c r="F135" s="254"/>
      <x:c r="G135" s="254"/>
      <x:c r="H135" s="254"/>
      <x:c r="I135" s="254"/>
      <x:c r="J135" s="254"/>
      <x:c r="K135" s="254"/>
    </x:row>
    <x:row r="136">
      <x:c r="A136" s="254"/>
      <x:c r="B136" s="254"/>
      <x:c r="C136" s="254"/>
      <x:c r="D136" s="254"/>
      <x:c r="E136" s="254"/>
      <x:c r="F136" s="254"/>
      <x:c r="G136" s="254"/>
      <x:c r="H136" s="254"/>
      <x:c r="I136" s="254"/>
      <x:c r="J136" s="254"/>
      <x:c r="K136" s="254"/>
    </x:row>
    <x:row r="137">
      <x:c r="A137" s="254"/>
      <x:c r="B137" s="254"/>
      <x:c r="C137" s="254"/>
      <x:c r="D137" s="254"/>
      <x:c r="E137" s="254"/>
      <x:c r="F137" s="254"/>
      <x:c r="G137" s="254"/>
      <x:c r="H137" s="254"/>
      <x:c r="I137" s="254"/>
      <x:c r="J137" s="254"/>
      <x:c r="K137" s="254"/>
    </x:row>
    <x:row r="138">
      <x:c r="A138" s="254"/>
      <x:c r="B138" s="254"/>
      <x:c r="C138" s="254"/>
      <x:c r="D138" s="254"/>
      <x:c r="E138" s="254"/>
      <x:c r="F138" s="254"/>
      <x:c r="G138" s="254"/>
      <x:c r="H138" s="254"/>
      <x:c r="I138" s="254"/>
      <x:c r="J138" s="254"/>
      <x:c r="K138" s="254"/>
    </x:row>
    <x:row r="139">
      <x:c r="A139" s="254"/>
      <x:c r="B139" s="254"/>
      <x:c r="C139" s="254"/>
      <x:c r="D139" s="254"/>
      <x:c r="E139" s="254"/>
      <x:c r="F139" s="254"/>
      <x:c r="G139" s="254"/>
      <x:c r="H139" s="254"/>
      <x:c r="I139" s="254"/>
      <x:c r="J139" s="254"/>
      <x:c r="K139" s="254"/>
    </x:row>
    <x:row r="140">
      <x:c r="A140" s="254"/>
      <x:c r="B140" s="254"/>
      <x:c r="C140" s="254"/>
      <x:c r="D140" s="254"/>
      <x:c r="E140" s="254"/>
      <x:c r="F140" s="254"/>
      <x:c r="G140" s="254"/>
      <x:c r="H140" s="254"/>
      <x:c r="I140" s="254"/>
      <x:c r="J140" s="254"/>
      <x:c r="K140" s="254"/>
    </x:row>
    <x:row r="141">
      <x:c r="A141" s="254"/>
      <x:c r="B141" s="254"/>
      <x:c r="C141" s="254"/>
      <x:c r="D141" s="254"/>
      <x:c r="E141" s="254"/>
      <x:c r="F141" s="254"/>
      <x:c r="G141" s="254"/>
      <x:c r="H141" s="254"/>
      <x:c r="I141" s="254"/>
      <x:c r="J141" s="254"/>
      <x:c r="K141" s="254"/>
    </x:row>
    <x:row r="142">
      <x:c r="A142" s="254"/>
      <x:c r="B142" s="254"/>
      <x:c r="C142" s="254"/>
      <x:c r="D142" s="254"/>
      <x:c r="E142" s="254"/>
      <x:c r="F142" s="254"/>
      <x:c r="G142" s="254"/>
      <x:c r="H142" s="254"/>
      <x:c r="I142" s="254"/>
      <x:c r="J142" s="254"/>
      <x:c r="K142" s="254"/>
    </x:row>
    <x:row r="143">
      <x:c r="A143" s="254"/>
      <x:c r="B143" s="254"/>
      <x:c r="C143" s="254"/>
      <x:c r="D143" s="254"/>
      <x:c r="E143" s="254"/>
      <x:c r="F143" s="254"/>
      <x:c r="G143" s="254"/>
      <x:c r="H143" s="254"/>
      <x:c r="I143" s="254"/>
      <x:c r="J143" s="254"/>
      <x:c r="K143" s="254"/>
    </x:row>
    <x:row r="144">
      <x:c r="A144" s="254"/>
      <x:c r="B144" s="254"/>
      <x:c r="C144" s="254"/>
      <x:c r="D144" s="254"/>
      <x:c r="E144" s="254"/>
      <x:c r="F144" s="254"/>
      <x:c r="G144" s="254"/>
      <x:c r="H144" s="254"/>
      <x:c r="I144" s="254"/>
      <x:c r="J144" s="254"/>
      <x:c r="K144" s="254"/>
    </x:row>
    <x:row r="145">
      <x:c r="A145" s="254"/>
      <x:c r="B145" s="254"/>
      <x:c r="C145" s="254"/>
      <x:c r="D145" s="254"/>
      <x:c r="E145" s="254"/>
      <x:c r="F145" s="254"/>
      <x:c r="G145" s="254"/>
      <x:c r="H145" s="254"/>
      <x:c r="I145" s="254"/>
      <x:c r="J145" s="254"/>
      <x:c r="K145" s="254"/>
    </x:row>
    <x:row r="146">
      <x:c r="A146" s="254"/>
      <x:c r="B146" s="254"/>
      <x:c r="C146" s="254"/>
      <x:c r="D146" s="254"/>
      <x:c r="E146" s="254"/>
      <x:c r="F146" s="254"/>
      <x:c r="G146" s="254"/>
      <x:c r="H146" s="254"/>
      <x:c r="I146" s="254"/>
      <x:c r="J146" s="254"/>
      <x:c r="K146" s="254"/>
    </x:row>
    <x:row r="147">
      <x:c r="A147" s="254"/>
      <x:c r="B147" s="254"/>
      <x:c r="C147" s="254"/>
      <x:c r="D147" s="254"/>
      <x:c r="E147" s="254"/>
      <x:c r="F147" s="254"/>
      <x:c r="G147" s="254"/>
      <x:c r="H147" s="254"/>
      <x:c r="I147" s="254"/>
      <x:c r="J147" s="254"/>
      <x:c r="K147" s="254"/>
    </x:row>
    <x:row r="148">
      <x:c r="A148" s="254"/>
      <x:c r="B148" s="254"/>
      <x:c r="C148" s="254"/>
      <x:c r="D148" s="254"/>
      <x:c r="E148" s="254"/>
      <x:c r="F148" s="254"/>
      <x:c r="G148" s="254"/>
      <x:c r="H148" s="254"/>
      <x:c r="I148" s="254"/>
      <x:c r="J148" s="254"/>
      <x:c r="K148" s="254"/>
    </x:row>
    <x:row r="149">
      <x:c r="A149" s="254"/>
      <x:c r="B149" s="254"/>
      <x:c r="C149" s="254"/>
      <x:c r="D149" s="254"/>
      <x:c r="E149" s="254"/>
      <x:c r="F149" s="254"/>
      <x:c r="G149" s="254"/>
      <x:c r="H149" s="254"/>
      <x:c r="I149" s="254"/>
      <x:c r="J149" s="254"/>
      <x:c r="K149" s="254"/>
    </x:row>
    <x:row r="150">
      <x:c r="A150" s="254"/>
      <x:c r="B150" s="254"/>
      <x:c r="C150" s="254"/>
      <x:c r="D150" s="254"/>
      <x:c r="E150" s="254"/>
      <x:c r="F150" s="254"/>
      <x:c r="G150" s="254"/>
      <x:c r="H150" s="254"/>
      <x:c r="I150" s="254"/>
      <x:c r="J150" s="254"/>
      <x:c r="K150" s="254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5" hidden="0" customWidth="1"/>
    <x:col min="4" max="4" width="32" hidden="0" customWidth="1"/>
    <x:col min="5" max="5" width="32" hidden="0" customWidth="1"/>
    <x:col min="6" max="6" width="32" hidden="0" customWidth="1"/>
    <x:col min="7" max="7" width="30" hidden="0" customWidth="1"/>
    <x:col min="8" max="8" width="42" hidden="0" customWidth="1"/>
  </x:cols>
  <x:sheetData>
    <x:row r="1" ht="25" customHeight="1">
      <x:c r="A1" s="5" t="str">
        <x:v>BANKING BUSINESS PROFILE</x:v>
      </x:c>
      <x:c r="B1" s="5"/>
      <x:c r="C1" s="5"/>
      <x:c r="D1" s="5"/>
      <x:c r="E1" s="5"/>
      <x:c r="F1" s="5"/>
      <x:c r="G1" s="5"/>
      <x:c r="H1" s="5"/>
      <x:c r="I1" s="254"/>
      <x:c r="J1" s="254"/>
      <x:c r="K1" s="254"/>
    </x:row>
    <x:row r="2" ht="22" customHeight="1">
      <x:c r="A2" s="13" t="str">
        <x:v>Qualitative context for peer comparability</x:v>
      </x:c>
      <x:c r="B2" s="13"/>
      <x:c r="C2" s="13"/>
      <x:c r="D2" s="13"/>
      <x:c r="E2" s="13"/>
      <x:c r="F2" s="13"/>
      <x:c r="G2" s="13"/>
      <x:c r="H2" s="13"/>
      <x:c r="I2" s="254"/>
      <x:c r="J2" s="254"/>
      <x:c r="K2" s="254"/>
    </x:row>
    <x:row r="3" ht="32" customHeight="1">
      <x:c r="A3" s="36" t="str">
        <x:v>Bank</x:v>
      </x:c>
      <x:c r="B3" s="37" t="str">
        <x:v>Primary Customer Base</x:v>
      </x:c>
      <x:c r="C3" s="37" t="str">
        <x:v>Core Businesses</x:v>
      </x:c>
      <x:c r="D3" s="37" t="str">
        <x:v>Retail / Consumer</x:v>
      </x:c>
      <x:c r="E3" s="37" t="str">
        <x:v>SME / Business Banking</x:v>
      </x:c>
      <x:c r="F3" s="37" t="str">
        <x:v>Corporate / Wholesale</x:v>
      </x:c>
      <x:c r="G3" s="37" t="str">
        <x:v>Wealth / Other</x:v>
      </x:c>
      <x:c r="H3" s="38" t="str">
        <x:v>CCA Business-Model Read-through</x:v>
      </x:c>
      <x:c r="I3" s="254"/>
      <x:c r="J3" s="254"/>
      <x:c r="K3" s="254"/>
    </x:row>
    <x:row r="4">
      <x:c r="A4" s="260" t="str">
        <x:v>Axis Bank</x:v>
      </x:c>
      <x:c r="B4" s="261" t="str">
        <x:v>Individuals, affluent, SMEs, corporates, government/PSUs, financial institutions</x:v>
      </x:c>
      <x:c r="C4" s="261" t="str">
        <x:v>Retail; commercial &amp; wholesale; Bharat banking; digital; treasury; transaction banking; capital markets</x:v>
      </x:c>
      <x:c r="D4" s="261" t="str">
        <x:v>Deposits, personal loans, cards, payments, investments, insurance, digital</x:v>
      </x:c>
      <x:c r="E4" s="261" t="str">
        <x:v>MSME/SME lending, working capital, trade and transaction banking</x:v>
      </x:c>
      <x:c r="F4" s="261" t="str">
        <x:v>Large/mid corporates, MNCs, FIs, government/PSUs</x:v>
      </x:c>
      <x:c r="G4" s="261" t="str">
        <x:v>Burgundy; Axis Securities; Axis Capital; Axis Finance</x:v>
      </x:c>
      <x:c r="H4" s="262" t="str">
        <x:v>Diversified private bank; read valuation with retail scale, corporate franchise and fee businesses</x:v>
      </x:c>
      <x:c r="I4" s="254"/>
      <x:c r="J4" s="254"/>
      <x:c r="K4" s="254"/>
    </x:row>
    <x:row r="5">
      <x:c r="A5" s="260" t="str">
        <x:v>HDFC Bank</x:v>
      </x:c>
      <x:c r="B5" s="261" t="str">
        <x:v>Individuals, salaried, affluent/NRI, micro/small businesses, SMEs, large corporates, PSUs</x:v>
      </x:c>
      <x:c r="C5" s="261" t="str">
        <x:v>Retail and wholesale banking; payments; cards; digital; trade finance; investment banking</x:v>
      </x:c>
      <x:c r="D5" s="261" t="str">
        <x:v>Personal/home/auto/consumer loans; deposits; cards; payments; wealth</x:v>
      </x:c>
      <x:c r="E5" s="261" t="str">
        <x:v>Micro/small businesses, business banking, working capital, business loans</x:v>
      </x:c>
      <x:c r="F5" s="261" t="str">
        <x:v>Large corporates, MNCs, PSUs, emerging corporates; working capital, project finance, supply chain</x:v>
      </x:c>
      <x:c r="G5" s="261" t="str">
        <x:v>Wealth, investment products, insurance distribution, corporate/investment banking</x:v>
      </x:c>
      <x:c r="H5" s="262" t="str">
        <x:v>Scale benchmark; deposit/retail franchise and balance-sheet efficiency are central CCA factors</x:v>
      </x:c>
      <x:c r="I5" s="254"/>
      <x:c r="J5" s="254"/>
      <x:c r="K5" s="254"/>
    </x:row>
    <x:row r="6">
      <x:c r="A6" s="260" t="str">
        <x:v>ICICI Bank</x:v>
      </x:c>
      <x:c r="B6" s="261" t="str">
        <x:v>Retail, affluent, SMEs, corporates, institutions, NRI</x:v>
      </x:c>
      <x:c r="C6" s="261" t="str">
        <x:v>Retail; business; corporate; treasury; financial-services ecosystem</x:v>
      </x:c>
      <x:c r="D6" s="261" t="str">
        <x:v>Deposits, mortgages, personal/consumer loans, cards, payments, digital, wealth</x:v>
      </x:c>
      <x:c r="E6" s="261" t="str">
        <x:v>SME/business banking, lending, transaction banking, payments</x:v>
      </x:c>
      <x:c r="F6" s="261" t="str">
        <x:v>Corporate lending, transaction banking, trade, treasury, capital markets</x:v>
      </x:c>
      <x:c r="G6" s="261" t="str">
        <x:v>Insurance, wealth and other financial-services subsidiaries/associates</x:v>
      </x:c>
      <x:c r="H6" s="262" t="str">
        <x:v>High-return comparator; ROA/ROE/NIM help explain P/B and P/TBV</x:v>
      </x:c>
      <x:c r="I6" s="254"/>
      <x:c r="J6" s="254"/>
      <x:c r="K6" s="254"/>
    </x:row>
    <x:row r="7">
      <x:c r="A7" s="260" t="str">
        <x:v>Kotak Mahindra Bank</x:v>
      </x:c>
      <x:c r="B7" s="261" t="str">
        <x:v>Retail, affluent/HNI, entrepreneurs, SMEs, corporates, institutional</x:v>
      </x:c>
      <x:c r="C7" s="261" t="str">
        <x:v>Consumer; commercial; corporate/institutional; treasury; investment banking; wealth</x:v>
      </x:c>
      <x:c r="D7" s="261" t="str">
        <x:v>Deposits, personal finance, cards, home/consumer lending, payments, digital</x:v>
      </x:c>
      <x:c r="E7" s="261" t="str">
        <x:v>Business banking, SME lending, working capital, transaction services</x:v>
      </x:c>
      <x:c r="F7" s="261" t="str">
        <x:v>Corporate/institutional banking, financing, transaction banking, capital markets</x:v>
      </x:c>
      <x:c r="G7" s="261" t="str">
        <x:v>Kotak Private/wealth, securities, AMC, investment banking</x:v>
      </x:c>
      <x:c r="H7" s="262" t="str">
        <x:v>Diversified financial-services franchise; valuation should be read with ROE and growth</x:v>
      </x:c>
      <x:c r="I7" s="254"/>
      <x:c r="J7" s="254"/>
      <x:c r="K7" s="254"/>
    </x:row>
    <x:row r="8">
      <x:c r="A8" s="260" t="str">
        <x:v>Federal Bank</x:v>
      </x:c>
      <x:c r="B8" s="261" t="str">
        <x:v>Retail, NRI, SMEs, businesses, corporates, institutional</x:v>
      </x:c>
      <x:c r="C8" s="261" t="str">
        <x:v>Retail; wholesale/corporate; commercial; treasury; digital; NRI banking</x:v>
      </x:c>
      <x:c r="D8" s="261" t="str">
        <x:v>Deposits, home/personal/vehicle/consumer lending, cards/payments</x:v>
      </x:c>
      <x:c r="E8" s="261" t="str">
        <x:v>MSME/commercial banking, business loans, working capital, transaction banking</x:v>
      </x:c>
      <x:c r="F8" s="261" t="str">
        <x:v>Corporate banking, working capital, trade finance, cash management, institutional banking</x:v>
      </x:c>
      <x:c r="G8" s="261" t="str">
        <x:v>NRI franchise, wealth/investment products and partnerships/subsidiaries</x:v>
      </x:c>
      <x:c r="H8" s="262" t="str">
        <x:v>Smaller private-bank comparator; growth, ROE, asset quality and valuation matter</x:v>
      </x:c>
      <x:c r="I8" s="254"/>
      <x:c r="J8" s="254"/>
      <x:c r="K8" s="254"/>
    </x:row>
    <x:row r="9">
      <x:c r="A9" s="254"/>
      <x:c r="B9" s="254"/>
      <x:c r="C9" s="254"/>
      <x:c r="D9" s="254"/>
      <x:c r="E9" s="254"/>
      <x:c r="F9" s="254"/>
      <x:c r="G9" s="254"/>
      <x:c r="H9" s="254"/>
      <x:c r="I9" s="254"/>
      <x:c r="J9" s="254"/>
      <x:c r="K9" s="254"/>
    </x:row>
    <x:row r="10">
      <x:c r="A10" s="254"/>
      <x:c r="B10" s="254"/>
      <x:c r="C10" s="254"/>
      <x:c r="D10" s="254"/>
      <x:c r="E10" s="254"/>
      <x:c r="F10" s="254"/>
      <x:c r="G10" s="254"/>
      <x:c r="H10" s="254"/>
      <x:c r="I10" s="254"/>
      <x:c r="J10" s="254"/>
      <x:c r="K10" s="254"/>
    </x:row>
    <x:row r="11">
      <x:c r="A11" s="254"/>
      <x:c r="B11" s="254"/>
      <x:c r="C11" s="254"/>
      <x:c r="D11" s="254"/>
      <x:c r="E11" s="254"/>
      <x:c r="F11" s="254"/>
      <x:c r="G11" s="254"/>
      <x:c r="H11" s="254"/>
      <x:c r="I11" s="254"/>
      <x:c r="J11" s="254"/>
      <x:c r="K11" s="254"/>
    </x:row>
    <x:row r="12">
      <x:c r="A12" s="254"/>
      <x:c r="B12" s="254"/>
      <x:c r="C12" s="254"/>
      <x:c r="D12" s="254"/>
      <x:c r="E12" s="254"/>
      <x:c r="F12" s="254"/>
      <x:c r="G12" s="254"/>
      <x:c r="H12" s="254"/>
      <x:c r="I12" s="254"/>
      <x:c r="J12" s="254"/>
      <x:c r="K12" s="254"/>
    </x:row>
    <x:row r="13">
      <x:c r="A13" s="254"/>
      <x:c r="B13" s="254"/>
      <x:c r="C13" s="254"/>
      <x:c r="D13" s="254"/>
      <x:c r="E13" s="254"/>
      <x:c r="F13" s="254"/>
      <x:c r="G13" s="254"/>
      <x:c r="H13" s="254"/>
      <x:c r="I13" s="254"/>
      <x:c r="J13" s="254"/>
      <x:c r="K13" s="254"/>
    </x:row>
    <x:row r="14">
      <x:c r="A14" s="254"/>
      <x:c r="B14" s="254"/>
      <x:c r="C14" s="254"/>
      <x:c r="D14" s="254"/>
      <x:c r="E14" s="254"/>
      <x:c r="F14" s="254"/>
      <x:c r="G14" s="254"/>
      <x:c r="H14" s="254"/>
      <x:c r="I14" s="254"/>
      <x:c r="J14" s="254"/>
      <x:c r="K14" s="254"/>
    </x:row>
    <x:row r="15">
      <x:c r="A15" s="254"/>
      <x:c r="B15" s="254"/>
      <x:c r="C15" s="254"/>
      <x:c r="D15" s="254"/>
      <x:c r="E15" s="254"/>
      <x:c r="F15" s="254"/>
      <x:c r="G15" s="254"/>
      <x:c r="H15" s="254"/>
      <x:c r="I15" s="254"/>
      <x:c r="J15" s="254"/>
      <x:c r="K15" s="254"/>
    </x:row>
    <x:row r="16">
      <x:c r="A16" s="254"/>
      <x:c r="B16" s="254"/>
      <x:c r="C16" s="254"/>
      <x:c r="D16" s="254"/>
      <x:c r="E16" s="254"/>
      <x:c r="F16" s="254"/>
      <x:c r="G16" s="254"/>
      <x:c r="H16" s="254"/>
      <x:c r="I16" s="254"/>
      <x:c r="J16" s="254"/>
      <x:c r="K16" s="254"/>
    </x:row>
    <x:row r="17">
      <x:c r="A17" s="254"/>
      <x:c r="B17" s="254"/>
      <x:c r="C17" s="254"/>
      <x:c r="D17" s="254"/>
      <x:c r="E17" s="254"/>
      <x:c r="F17" s="254"/>
      <x:c r="G17" s="254"/>
      <x:c r="H17" s="254"/>
      <x:c r="I17" s="254"/>
      <x:c r="J17" s="254"/>
      <x:c r="K17" s="254"/>
    </x:row>
    <x:row r="18">
      <x:c r="A18" s="254"/>
      <x:c r="B18" s="254"/>
      <x:c r="C18" s="254"/>
      <x:c r="D18" s="254"/>
      <x:c r="E18" s="254"/>
      <x:c r="F18" s="254"/>
      <x:c r="G18" s="254"/>
      <x:c r="H18" s="254"/>
      <x:c r="I18" s="254"/>
      <x:c r="J18" s="254"/>
      <x:c r="K18" s="254"/>
    </x:row>
    <x:row r="19">
      <x:c r="A19" s="254"/>
      <x:c r="B19" s="254"/>
      <x:c r="C19" s="254"/>
      <x:c r="D19" s="254"/>
      <x:c r="E19" s="254"/>
      <x:c r="F19" s="254"/>
      <x:c r="G19" s="254"/>
      <x:c r="H19" s="254"/>
      <x:c r="I19" s="254"/>
      <x:c r="J19" s="254"/>
      <x:c r="K19" s="254"/>
    </x:row>
    <x:row r="20">
      <x:c r="A20" s="254"/>
      <x:c r="B20" s="254"/>
      <x:c r="C20" s="254"/>
      <x:c r="D20" s="254"/>
      <x:c r="E20" s="254"/>
      <x:c r="F20" s="254"/>
      <x:c r="G20" s="254"/>
      <x:c r="H20" s="254"/>
      <x:c r="I20" s="254"/>
      <x:c r="J20" s="254"/>
      <x:c r="K20" s="254"/>
    </x:row>
    <x:row r="21">
      <x:c r="A21" s="254"/>
      <x:c r="B21" s="254"/>
      <x:c r="C21" s="254"/>
      <x:c r="D21" s="254"/>
      <x:c r="E21" s="254"/>
      <x:c r="F21" s="254"/>
      <x:c r="G21" s="254"/>
      <x:c r="H21" s="254"/>
      <x:c r="I21" s="254"/>
      <x:c r="J21" s="254"/>
      <x:c r="K21" s="254"/>
    </x:row>
    <x:row r="22">
      <x:c r="A22" s="254"/>
      <x:c r="B22" s="254"/>
      <x:c r="C22" s="254"/>
      <x:c r="D22" s="254"/>
      <x:c r="E22" s="254"/>
      <x:c r="F22" s="254"/>
      <x:c r="G22" s="254"/>
      <x:c r="H22" s="254"/>
      <x:c r="I22" s="254"/>
      <x:c r="J22" s="254"/>
      <x:c r="K22" s="254"/>
    </x:row>
    <x:row r="23">
      <x:c r="A23" s="254"/>
      <x:c r="B23" s="254"/>
      <x:c r="C23" s="254"/>
      <x:c r="D23" s="254"/>
      <x:c r="E23" s="254"/>
      <x:c r="F23" s="254"/>
      <x:c r="G23" s="254"/>
      <x:c r="H23" s="254"/>
      <x:c r="I23" s="254"/>
      <x:c r="J23" s="254"/>
      <x:c r="K23" s="254"/>
    </x:row>
    <x:row r="24">
      <x:c r="A24" s="254"/>
      <x:c r="B24" s="254"/>
      <x:c r="C24" s="254"/>
      <x:c r="D24" s="254"/>
      <x:c r="E24" s="254"/>
      <x:c r="F24" s="254"/>
      <x:c r="G24" s="254"/>
      <x:c r="H24" s="254"/>
      <x:c r="I24" s="254"/>
      <x:c r="J24" s="254"/>
      <x:c r="K24" s="254"/>
    </x:row>
    <x:row r="25">
      <x:c r="A25" s="254"/>
      <x:c r="B25" s="254"/>
      <x:c r="C25" s="254"/>
      <x:c r="D25" s="254"/>
      <x:c r="E25" s="254"/>
      <x:c r="F25" s="254"/>
      <x:c r="G25" s="254"/>
      <x:c r="H25" s="254"/>
      <x:c r="I25" s="254"/>
      <x:c r="J25" s="254"/>
      <x:c r="K25" s="254"/>
    </x:row>
    <x:row r="26">
      <x:c r="A26" s="254"/>
      <x:c r="B26" s="254"/>
      <x:c r="C26" s="254"/>
      <x:c r="D26" s="254"/>
      <x:c r="E26" s="254"/>
      <x:c r="F26" s="254"/>
      <x:c r="G26" s="254"/>
      <x:c r="H26" s="254"/>
      <x:c r="I26" s="254"/>
      <x:c r="J26" s="254"/>
      <x:c r="K26" s="254"/>
    </x:row>
    <x:row r="27">
      <x:c r="A27" s="254"/>
      <x:c r="B27" s="254"/>
      <x:c r="C27" s="254"/>
      <x:c r="D27" s="254"/>
      <x:c r="E27" s="254"/>
      <x:c r="F27" s="254"/>
      <x:c r="G27" s="254"/>
      <x:c r="H27" s="254"/>
      <x:c r="I27" s="254"/>
      <x:c r="J27" s="254"/>
      <x:c r="K27" s="254"/>
    </x:row>
    <x:row r="28">
      <x:c r="A28" s="254"/>
      <x:c r="B28" s="254"/>
      <x:c r="C28" s="254"/>
      <x:c r="D28" s="254"/>
      <x:c r="E28" s="254"/>
      <x:c r="F28" s="254"/>
      <x:c r="G28" s="254"/>
      <x:c r="H28" s="254"/>
      <x:c r="I28" s="254"/>
      <x:c r="J28" s="254"/>
      <x:c r="K28" s="254"/>
    </x:row>
    <x:row r="29">
      <x:c r="A29" s="254"/>
      <x:c r="B29" s="254"/>
      <x:c r="C29" s="254"/>
      <x:c r="D29" s="254"/>
      <x:c r="E29" s="254"/>
      <x:c r="F29" s="254"/>
      <x:c r="G29" s="254"/>
      <x:c r="H29" s="254"/>
      <x:c r="I29" s="254"/>
      <x:c r="J29" s="254"/>
      <x:c r="K29" s="254"/>
    </x:row>
    <x:row r="30">
      <x:c r="A30" s="254"/>
      <x:c r="B30" s="254"/>
      <x:c r="C30" s="254"/>
      <x:c r="D30" s="254"/>
      <x:c r="E30" s="254"/>
      <x:c r="F30" s="254"/>
      <x:c r="G30" s="254"/>
      <x:c r="H30" s="254"/>
      <x:c r="I30" s="254"/>
      <x:c r="J30" s="254"/>
      <x:c r="K30" s="254"/>
    </x:row>
    <x:row r="31">
      <x:c r="A31" s="254"/>
      <x:c r="B31" s="254"/>
      <x:c r="C31" s="254"/>
      <x:c r="D31" s="254"/>
      <x:c r="E31" s="254"/>
      <x:c r="F31" s="254"/>
      <x:c r="G31" s="254"/>
      <x:c r="H31" s="254"/>
      <x:c r="I31" s="254"/>
      <x:c r="J31" s="254"/>
      <x:c r="K31" s="254"/>
    </x:row>
    <x:row r="32">
      <x:c r="A32" s="254"/>
      <x:c r="B32" s="254"/>
      <x:c r="C32" s="254"/>
      <x:c r="D32" s="254"/>
      <x:c r="E32" s="254"/>
      <x:c r="F32" s="254"/>
      <x:c r="G32" s="254"/>
      <x:c r="H32" s="254"/>
      <x:c r="I32" s="254"/>
      <x:c r="J32" s="254"/>
      <x:c r="K32" s="254"/>
    </x:row>
    <x:row r="33">
      <x:c r="A33" s="254"/>
      <x:c r="B33" s="254"/>
      <x:c r="C33" s="254"/>
      <x:c r="D33" s="254"/>
      <x:c r="E33" s="254"/>
      <x:c r="F33" s="254"/>
      <x:c r="G33" s="254"/>
      <x:c r="H33" s="254"/>
      <x:c r="I33" s="254"/>
      <x:c r="J33" s="254"/>
      <x:c r="K33" s="254"/>
    </x:row>
    <x:row r="34">
      <x:c r="A34" s="254"/>
      <x:c r="B34" s="254"/>
      <x:c r="C34" s="254"/>
      <x:c r="D34" s="254"/>
      <x:c r="E34" s="254"/>
      <x:c r="F34" s="254"/>
      <x:c r="G34" s="254"/>
      <x:c r="H34" s="254"/>
      <x:c r="I34" s="254"/>
      <x:c r="J34" s="254"/>
      <x:c r="K34" s="254"/>
    </x:row>
    <x:row r="35">
      <x:c r="A35" s="254"/>
      <x:c r="B35" s="254"/>
      <x:c r="C35" s="254"/>
      <x:c r="D35" s="254"/>
      <x:c r="E35" s="254"/>
      <x:c r="F35" s="254"/>
      <x:c r="G35" s="254"/>
      <x:c r="H35" s="254"/>
      <x:c r="I35" s="254"/>
      <x:c r="J35" s="254"/>
      <x:c r="K35" s="254"/>
    </x:row>
    <x:row r="36">
      <x:c r="A36" s="254"/>
      <x:c r="B36" s="254"/>
      <x:c r="C36" s="254"/>
      <x:c r="D36" s="254"/>
      <x:c r="E36" s="254"/>
      <x:c r="F36" s="254"/>
      <x:c r="G36" s="254"/>
      <x:c r="H36" s="254"/>
      <x:c r="I36" s="254"/>
      <x:c r="J36" s="254"/>
      <x:c r="K36" s="254"/>
    </x:row>
    <x:row r="37">
      <x:c r="A37" s="254"/>
      <x:c r="B37" s="254"/>
      <x:c r="C37" s="254"/>
      <x:c r="D37" s="254"/>
      <x:c r="E37" s="254"/>
      <x:c r="F37" s="254"/>
      <x:c r="G37" s="254"/>
      <x:c r="H37" s="254"/>
      <x:c r="I37" s="254"/>
      <x:c r="J37" s="254"/>
      <x:c r="K37" s="254"/>
    </x:row>
    <x:row r="38">
      <x:c r="A38" s="254"/>
      <x:c r="B38" s="254"/>
      <x:c r="C38" s="254"/>
      <x:c r="D38" s="254"/>
      <x:c r="E38" s="254"/>
      <x:c r="F38" s="254"/>
      <x:c r="G38" s="254"/>
      <x:c r="H38" s="254"/>
      <x:c r="I38" s="254"/>
      <x:c r="J38" s="254"/>
      <x:c r="K38" s="254"/>
    </x:row>
    <x:row r="39">
      <x:c r="A39" s="254"/>
      <x:c r="B39" s="254"/>
      <x:c r="C39" s="254"/>
      <x:c r="D39" s="254"/>
      <x:c r="E39" s="254"/>
      <x:c r="F39" s="254"/>
      <x:c r="G39" s="254"/>
      <x:c r="H39" s="254"/>
      <x:c r="I39" s="254"/>
      <x:c r="J39" s="254"/>
      <x:c r="K39" s="254"/>
    </x:row>
    <x:row r="40">
      <x:c r="A40" s="254"/>
      <x:c r="B40" s="254"/>
      <x:c r="C40" s="254"/>
      <x:c r="D40" s="254"/>
      <x:c r="E40" s="254"/>
      <x:c r="F40" s="254"/>
      <x:c r="G40" s="254"/>
      <x:c r="H40" s="254"/>
      <x:c r="I40" s="254"/>
      <x:c r="J40" s="254"/>
      <x:c r="K40" s="254"/>
    </x:row>
    <x:row r="41">
      <x:c r="A41" s="254"/>
      <x:c r="B41" s="254"/>
      <x:c r="C41" s="254"/>
      <x:c r="D41" s="254"/>
      <x:c r="E41" s="254"/>
      <x:c r="F41" s="254"/>
      <x:c r="G41" s="254"/>
      <x:c r="H41" s="254"/>
      <x:c r="I41" s="254"/>
      <x:c r="J41" s="254"/>
      <x:c r="K41" s="254"/>
    </x:row>
    <x:row r="42">
      <x:c r="A42" s="254"/>
      <x:c r="B42" s="254"/>
      <x:c r="C42" s="254"/>
      <x:c r="D42" s="254"/>
      <x:c r="E42" s="254"/>
      <x:c r="F42" s="254"/>
      <x:c r="G42" s="254"/>
      <x:c r="H42" s="254"/>
      <x:c r="I42" s="254"/>
      <x:c r="J42" s="254"/>
      <x:c r="K42" s="254"/>
    </x:row>
    <x:row r="43">
      <x:c r="A43" s="254"/>
      <x:c r="B43" s="254"/>
      <x:c r="C43" s="254"/>
      <x:c r="D43" s="254"/>
      <x:c r="E43" s="254"/>
      <x:c r="F43" s="254"/>
      <x:c r="G43" s="254"/>
      <x:c r="H43" s="254"/>
      <x:c r="I43" s="254"/>
      <x:c r="J43" s="254"/>
      <x:c r="K43" s="254"/>
    </x:row>
    <x:row r="44">
      <x:c r="A44" s="254"/>
      <x:c r="B44" s="254"/>
      <x:c r="C44" s="254"/>
      <x:c r="D44" s="254"/>
      <x:c r="E44" s="254"/>
      <x:c r="F44" s="254"/>
      <x:c r="G44" s="254"/>
      <x:c r="H44" s="254"/>
      <x:c r="I44" s="254"/>
      <x:c r="J44" s="254"/>
      <x:c r="K44" s="254"/>
    </x:row>
    <x:row r="45">
      <x:c r="A45" s="254"/>
      <x:c r="B45" s="254"/>
      <x:c r="C45" s="254"/>
      <x:c r="D45" s="254"/>
      <x:c r="E45" s="254"/>
      <x:c r="F45" s="254"/>
      <x:c r="G45" s="254"/>
      <x:c r="H45" s="254"/>
      <x:c r="I45" s="254"/>
      <x:c r="J45" s="254"/>
      <x:c r="K45" s="254"/>
    </x:row>
    <x:row r="46">
      <x:c r="A46" s="254"/>
      <x:c r="B46" s="254"/>
      <x:c r="C46" s="254"/>
      <x:c r="D46" s="254"/>
      <x:c r="E46" s="254"/>
      <x:c r="F46" s="254"/>
      <x:c r="G46" s="254"/>
      <x:c r="H46" s="254"/>
      <x:c r="I46" s="254"/>
      <x:c r="J46" s="254"/>
      <x:c r="K46" s="254"/>
    </x:row>
    <x:row r="47">
      <x:c r="A47" s="254"/>
      <x:c r="B47" s="254"/>
      <x:c r="C47" s="254"/>
      <x:c r="D47" s="254"/>
      <x:c r="E47" s="254"/>
      <x:c r="F47" s="254"/>
      <x:c r="G47" s="254"/>
      <x:c r="H47" s="254"/>
      <x:c r="I47" s="254"/>
      <x:c r="J47" s="254"/>
      <x:c r="K47" s="254"/>
    </x:row>
    <x:row r="48">
      <x:c r="A48" s="254"/>
      <x:c r="B48" s="254"/>
      <x:c r="C48" s="254"/>
      <x:c r="D48" s="254"/>
      <x:c r="E48" s="254"/>
      <x:c r="F48" s="254"/>
      <x:c r="G48" s="254"/>
      <x:c r="H48" s="254"/>
      <x:c r="I48" s="254"/>
      <x:c r="J48" s="254"/>
      <x:c r="K48" s="254"/>
    </x:row>
    <x:row r="49">
      <x:c r="A49" s="254"/>
      <x:c r="B49" s="254"/>
      <x:c r="C49" s="254"/>
      <x:c r="D49" s="254"/>
      <x:c r="E49" s="254"/>
      <x:c r="F49" s="254"/>
      <x:c r="G49" s="254"/>
      <x:c r="H49" s="254"/>
      <x:c r="I49" s="254"/>
      <x:c r="J49" s="254"/>
      <x:c r="K49" s="254"/>
    </x:row>
    <x:row r="50">
      <x:c r="A50" s="254"/>
      <x:c r="B50" s="254"/>
      <x:c r="C50" s="254"/>
      <x:c r="D50" s="254"/>
      <x:c r="E50" s="254"/>
      <x:c r="F50" s="254"/>
      <x:c r="G50" s="254"/>
      <x:c r="H50" s="254"/>
      <x:c r="I50" s="254"/>
      <x:c r="J50" s="254"/>
      <x:c r="K50" s="254"/>
    </x:row>
    <x:row r="51">
      <x:c r="A51" s="254"/>
      <x:c r="B51" s="254"/>
      <x:c r="C51" s="254"/>
      <x:c r="D51" s="254"/>
      <x:c r="E51" s="254"/>
      <x:c r="F51" s="254"/>
      <x:c r="G51" s="254"/>
      <x:c r="H51" s="254"/>
      <x:c r="I51" s="254"/>
      <x:c r="J51" s="254"/>
      <x:c r="K51" s="254"/>
    </x:row>
    <x:row r="52">
      <x:c r="A52" s="254"/>
      <x:c r="B52" s="254"/>
      <x:c r="C52" s="254"/>
      <x:c r="D52" s="254"/>
      <x:c r="E52" s="254"/>
      <x:c r="F52" s="254"/>
      <x:c r="G52" s="254"/>
      <x:c r="H52" s="254"/>
      <x:c r="I52" s="254"/>
      <x:c r="J52" s="254"/>
      <x:c r="K52" s="254"/>
    </x:row>
    <x:row r="53">
      <x:c r="A53" s="254"/>
      <x:c r="B53" s="254"/>
      <x:c r="C53" s="254"/>
      <x:c r="D53" s="254"/>
      <x:c r="E53" s="254"/>
      <x:c r="F53" s="254"/>
      <x:c r="G53" s="254"/>
      <x:c r="H53" s="254"/>
      <x:c r="I53" s="254"/>
      <x:c r="J53" s="254"/>
      <x:c r="K53" s="254"/>
    </x:row>
    <x:row r="54">
      <x:c r="A54" s="254"/>
      <x:c r="B54" s="254"/>
      <x:c r="C54" s="254"/>
      <x:c r="D54" s="254"/>
      <x:c r="E54" s="254"/>
      <x:c r="F54" s="254"/>
      <x:c r="G54" s="254"/>
      <x:c r="H54" s="254"/>
      <x:c r="I54" s="254"/>
      <x:c r="J54" s="254"/>
      <x:c r="K54" s="254"/>
    </x:row>
    <x:row r="55">
      <x:c r="A55" s="254"/>
      <x:c r="B55" s="254"/>
      <x:c r="C55" s="254"/>
      <x:c r="D55" s="254"/>
      <x:c r="E55" s="254"/>
      <x:c r="F55" s="254"/>
      <x:c r="G55" s="254"/>
      <x:c r="H55" s="254"/>
      <x:c r="I55" s="254"/>
      <x:c r="J55" s="254"/>
      <x:c r="K55" s="254"/>
    </x:row>
    <x:row r="56">
      <x:c r="A56" s="254"/>
      <x:c r="B56" s="254"/>
      <x:c r="C56" s="254"/>
      <x:c r="D56" s="254"/>
      <x:c r="E56" s="254"/>
      <x:c r="F56" s="254"/>
      <x:c r="G56" s="254"/>
      <x:c r="H56" s="254"/>
      <x:c r="I56" s="254"/>
      <x:c r="J56" s="254"/>
      <x:c r="K56" s="254"/>
    </x:row>
    <x:row r="57">
      <x:c r="A57" s="254"/>
      <x:c r="B57" s="254"/>
      <x:c r="C57" s="254"/>
      <x:c r="D57" s="254"/>
      <x:c r="E57" s="254"/>
      <x:c r="F57" s="254"/>
      <x:c r="G57" s="254"/>
      <x:c r="H57" s="254"/>
      <x:c r="I57" s="254"/>
      <x:c r="J57" s="254"/>
      <x:c r="K57" s="254"/>
    </x:row>
    <x:row r="58">
      <x:c r="A58" s="254"/>
      <x:c r="B58" s="254"/>
      <x:c r="C58" s="254"/>
      <x:c r="D58" s="254"/>
      <x:c r="E58" s="254"/>
      <x:c r="F58" s="254"/>
      <x:c r="G58" s="254"/>
      <x:c r="H58" s="254"/>
      <x:c r="I58" s="254"/>
      <x:c r="J58" s="254"/>
      <x:c r="K58" s="254"/>
    </x:row>
    <x:row r="59">
      <x:c r="A59" s="254"/>
      <x:c r="B59" s="254"/>
      <x:c r="C59" s="254"/>
      <x:c r="D59" s="254"/>
      <x:c r="E59" s="254"/>
      <x:c r="F59" s="254"/>
      <x:c r="G59" s="254"/>
      <x:c r="H59" s="254"/>
      <x:c r="I59" s="254"/>
      <x:c r="J59" s="254"/>
      <x:c r="K59" s="254"/>
    </x:row>
    <x:row r="60">
      <x:c r="A60" s="254"/>
      <x:c r="B60" s="254"/>
      <x:c r="C60" s="254"/>
      <x:c r="D60" s="254"/>
      <x:c r="E60" s="254"/>
      <x:c r="F60" s="254"/>
      <x:c r="G60" s="254"/>
      <x:c r="H60" s="254"/>
      <x:c r="I60" s="254"/>
      <x:c r="J60" s="254"/>
      <x:c r="K60" s="254"/>
    </x:row>
    <x:row r="61">
      <x:c r="A61" s="254"/>
      <x:c r="B61" s="254"/>
      <x:c r="C61" s="254"/>
      <x:c r="D61" s="254"/>
      <x:c r="E61" s="254"/>
      <x:c r="F61" s="254"/>
      <x:c r="G61" s="254"/>
      <x:c r="H61" s="254"/>
      <x:c r="I61" s="254"/>
      <x:c r="J61" s="254"/>
      <x:c r="K61" s="254"/>
    </x:row>
    <x:row r="62">
      <x:c r="A62" s="254"/>
      <x:c r="B62" s="254"/>
      <x:c r="C62" s="254"/>
      <x:c r="D62" s="254"/>
      <x:c r="E62" s="254"/>
      <x:c r="F62" s="254"/>
      <x:c r="G62" s="254"/>
      <x:c r="H62" s="254"/>
      <x:c r="I62" s="254"/>
      <x:c r="J62" s="254"/>
      <x:c r="K62" s="254"/>
    </x:row>
    <x:row r="63">
      <x:c r="A63" s="254"/>
      <x:c r="B63" s="254"/>
      <x:c r="C63" s="254"/>
      <x:c r="D63" s="254"/>
      <x:c r="E63" s="254"/>
      <x:c r="F63" s="254"/>
      <x:c r="G63" s="254"/>
      <x:c r="H63" s="254"/>
      <x:c r="I63" s="254"/>
      <x:c r="J63" s="254"/>
      <x:c r="K63" s="254"/>
    </x:row>
    <x:row r="64">
      <x:c r="A64" s="254"/>
      <x:c r="B64" s="254"/>
      <x:c r="C64" s="254"/>
      <x:c r="D64" s="254"/>
      <x:c r="E64" s="254"/>
      <x:c r="F64" s="254"/>
      <x:c r="G64" s="254"/>
      <x:c r="H64" s="254"/>
      <x:c r="I64" s="254"/>
      <x:c r="J64" s="254"/>
      <x:c r="K64" s="254"/>
    </x:row>
    <x:row r="65">
      <x:c r="A65" s="254"/>
      <x:c r="B65" s="254"/>
      <x:c r="C65" s="254"/>
      <x:c r="D65" s="254"/>
      <x:c r="E65" s="254"/>
      <x:c r="F65" s="254"/>
      <x:c r="G65" s="254"/>
      <x:c r="H65" s="254"/>
      <x:c r="I65" s="254"/>
      <x:c r="J65" s="254"/>
      <x:c r="K65" s="254"/>
    </x:row>
    <x:row r="66">
      <x:c r="A66" s="254"/>
      <x:c r="B66" s="254"/>
      <x:c r="C66" s="254"/>
      <x:c r="D66" s="254"/>
      <x:c r="E66" s="254"/>
      <x:c r="F66" s="254"/>
      <x:c r="G66" s="254"/>
      <x:c r="H66" s="254"/>
      <x:c r="I66" s="254"/>
      <x:c r="J66" s="254"/>
      <x:c r="K66" s="254"/>
    </x:row>
    <x:row r="67">
      <x:c r="A67" s="254"/>
      <x:c r="B67" s="254"/>
      <x:c r="C67" s="254"/>
      <x:c r="D67" s="254"/>
      <x:c r="E67" s="254"/>
      <x:c r="F67" s="254"/>
      <x:c r="G67" s="254"/>
      <x:c r="H67" s="254"/>
      <x:c r="I67" s="254"/>
      <x:c r="J67" s="254"/>
      <x:c r="K67" s="254"/>
    </x:row>
    <x:row r="68">
      <x:c r="A68" s="254"/>
      <x:c r="B68" s="254"/>
      <x:c r="C68" s="254"/>
      <x:c r="D68" s="254"/>
      <x:c r="E68" s="254"/>
      <x:c r="F68" s="254"/>
      <x:c r="G68" s="254"/>
      <x:c r="H68" s="254"/>
      <x:c r="I68" s="254"/>
      <x:c r="J68" s="254"/>
      <x:c r="K68" s="254"/>
    </x:row>
    <x:row r="69">
      <x:c r="A69" s="254"/>
      <x:c r="B69" s="254"/>
      <x:c r="C69" s="254"/>
      <x:c r="D69" s="254"/>
      <x:c r="E69" s="254"/>
      <x:c r="F69" s="254"/>
      <x:c r="G69" s="254"/>
      <x:c r="H69" s="254"/>
      <x:c r="I69" s="254"/>
      <x:c r="J69" s="254"/>
      <x:c r="K69" s="254"/>
    </x:row>
    <x:row r="70">
      <x:c r="A70" s="254"/>
      <x:c r="B70" s="254"/>
      <x:c r="C70" s="254"/>
      <x:c r="D70" s="254"/>
      <x:c r="E70" s="254"/>
      <x:c r="F70" s="254"/>
      <x:c r="G70" s="254"/>
      <x:c r="H70" s="254"/>
      <x:c r="I70" s="254"/>
      <x:c r="J70" s="254"/>
      <x:c r="K70" s="254"/>
    </x:row>
    <x:row r="71">
      <x:c r="A71" s="254"/>
      <x:c r="B71" s="254"/>
      <x:c r="C71" s="254"/>
      <x:c r="D71" s="254"/>
      <x:c r="E71" s="254"/>
      <x:c r="F71" s="254"/>
      <x:c r="G71" s="254"/>
      <x:c r="H71" s="254"/>
      <x:c r="I71" s="254"/>
      <x:c r="J71" s="254"/>
      <x:c r="K71" s="254"/>
    </x:row>
    <x:row r="72">
      <x:c r="A72" s="254"/>
      <x:c r="B72" s="254"/>
      <x:c r="C72" s="254"/>
      <x:c r="D72" s="254"/>
      <x:c r="E72" s="254"/>
      <x:c r="F72" s="254"/>
      <x:c r="G72" s="254"/>
      <x:c r="H72" s="254"/>
      <x:c r="I72" s="254"/>
      <x:c r="J72" s="254"/>
      <x:c r="K72" s="254"/>
    </x:row>
    <x:row r="73">
      <x:c r="A73" s="254"/>
      <x:c r="B73" s="254"/>
      <x:c r="C73" s="254"/>
      <x:c r="D73" s="254"/>
      <x:c r="E73" s="254"/>
      <x:c r="F73" s="254"/>
      <x:c r="G73" s="254"/>
      <x:c r="H73" s="254"/>
      <x:c r="I73" s="254"/>
      <x:c r="J73" s="254"/>
      <x:c r="K73" s="254"/>
    </x:row>
    <x:row r="74">
      <x:c r="A74" s="254"/>
      <x:c r="B74" s="254"/>
      <x:c r="C74" s="254"/>
      <x:c r="D74" s="254"/>
      <x:c r="E74" s="254"/>
      <x:c r="F74" s="254"/>
      <x:c r="G74" s="254"/>
      <x:c r="H74" s="254"/>
      <x:c r="I74" s="254"/>
      <x:c r="J74" s="254"/>
      <x:c r="K74" s="254"/>
    </x:row>
    <x:row r="75">
      <x:c r="A75" s="254"/>
      <x:c r="B75" s="254"/>
      <x:c r="C75" s="254"/>
      <x:c r="D75" s="254"/>
      <x:c r="E75" s="254"/>
      <x:c r="F75" s="254"/>
      <x:c r="G75" s="254"/>
      <x:c r="H75" s="254"/>
      <x:c r="I75" s="254"/>
      <x:c r="J75" s="254"/>
      <x:c r="K75" s="254"/>
    </x:row>
    <x:row r="76">
      <x:c r="A76" s="254"/>
      <x:c r="B76" s="254"/>
      <x:c r="C76" s="254"/>
      <x:c r="D76" s="254"/>
      <x:c r="E76" s="254"/>
      <x:c r="F76" s="254"/>
      <x:c r="G76" s="254"/>
      <x:c r="H76" s="254"/>
      <x:c r="I76" s="254"/>
      <x:c r="J76" s="254"/>
      <x:c r="K76" s="254"/>
    </x:row>
    <x:row r="77">
      <x:c r="A77" s="254"/>
      <x:c r="B77" s="254"/>
      <x:c r="C77" s="254"/>
      <x:c r="D77" s="254"/>
      <x:c r="E77" s="254"/>
      <x:c r="F77" s="254"/>
      <x:c r="G77" s="254"/>
      <x:c r="H77" s="254"/>
      <x:c r="I77" s="254"/>
      <x:c r="J77" s="254"/>
      <x:c r="K77" s="254"/>
    </x:row>
    <x:row r="78">
      <x:c r="A78" s="254"/>
      <x:c r="B78" s="254"/>
      <x:c r="C78" s="254"/>
      <x:c r="D78" s="254"/>
      <x:c r="E78" s="254"/>
      <x:c r="F78" s="254"/>
      <x:c r="G78" s="254"/>
      <x:c r="H78" s="254"/>
      <x:c r="I78" s="254"/>
      <x:c r="J78" s="254"/>
      <x:c r="K78" s="254"/>
    </x:row>
    <x:row r="79">
      <x:c r="A79" s="254"/>
      <x:c r="B79" s="254"/>
      <x:c r="C79" s="254"/>
      <x:c r="D79" s="254"/>
      <x:c r="E79" s="254"/>
      <x:c r="F79" s="254"/>
      <x:c r="G79" s="254"/>
      <x:c r="H79" s="254"/>
      <x:c r="I79" s="254"/>
      <x:c r="J79" s="254"/>
      <x:c r="K79" s="254"/>
    </x:row>
    <x:row r="80">
      <x:c r="A80" s="254"/>
      <x:c r="B80" s="254"/>
      <x:c r="C80" s="254"/>
      <x:c r="D80" s="254"/>
      <x:c r="E80" s="254"/>
      <x:c r="F80" s="254"/>
      <x:c r="G80" s="254"/>
      <x:c r="H80" s="254"/>
      <x:c r="I80" s="254"/>
      <x:c r="J80" s="254"/>
      <x:c r="K80" s="254"/>
    </x:row>
    <x:row r="81">
      <x:c r="A81" s="254"/>
      <x:c r="B81" s="254"/>
      <x:c r="C81" s="254"/>
      <x:c r="D81" s="254"/>
      <x:c r="E81" s="254"/>
      <x:c r="F81" s="254"/>
      <x:c r="G81" s="254"/>
      <x:c r="H81" s="254"/>
      <x:c r="I81" s="254"/>
      <x:c r="J81" s="254"/>
      <x:c r="K81" s="254"/>
    </x:row>
    <x:row r="82">
      <x:c r="A82" s="254"/>
      <x:c r="B82" s="254"/>
      <x:c r="C82" s="254"/>
      <x:c r="D82" s="254"/>
      <x:c r="E82" s="254"/>
      <x:c r="F82" s="254"/>
      <x:c r="G82" s="254"/>
      <x:c r="H82" s="254"/>
      <x:c r="I82" s="254"/>
      <x:c r="J82" s="254"/>
      <x:c r="K82" s="254"/>
    </x:row>
    <x:row r="83">
      <x:c r="A83" s="254"/>
      <x:c r="B83" s="254"/>
      <x:c r="C83" s="254"/>
      <x:c r="D83" s="254"/>
      <x:c r="E83" s="254"/>
      <x:c r="F83" s="254"/>
      <x:c r="G83" s="254"/>
      <x:c r="H83" s="254"/>
      <x:c r="I83" s="254"/>
      <x:c r="J83" s="254"/>
      <x:c r="K83" s="254"/>
    </x:row>
    <x:row r="84">
      <x:c r="A84" s="254"/>
      <x:c r="B84" s="254"/>
      <x:c r="C84" s="254"/>
      <x:c r="D84" s="254"/>
      <x:c r="E84" s="254"/>
      <x:c r="F84" s="254"/>
      <x:c r="G84" s="254"/>
      <x:c r="H84" s="254"/>
      <x:c r="I84" s="254"/>
      <x:c r="J84" s="254"/>
      <x:c r="K84" s="254"/>
    </x:row>
    <x:row r="85">
      <x:c r="A85" s="254"/>
      <x:c r="B85" s="254"/>
      <x:c r="C85" s="254"/>
      <x:c r="D85" s="254"/>
      <x:c r="E85" s="254"/>
      <x:c r="F85" s="254"/>
      <x:c r="G85" s="254"/>
      <x:c r="H85" s="254"/>
      <x:c r="I85" s="254"/>
      <x:c r="J85" s="254"/>
      <x:c r="K85" s="254"/>
    </x:row>
    <x:row r="86">
      <x:c r="A86" s="254"/>
      <x:c r="B86" s="254"/>
      <x:c r="C86" s="254"/>
      <x:c r="D86" s="254"/>
      <x:c r="E86" s="254"/>
      <x:c r="F86" s="254"/>
      <x:c r="G86" s="254"/>
      <x:c r="H86" s="254"/>
      <x:c r="I86" s="254"/>
      <x:c r="J86" s="254"/>
      <x:c r="K86" s="254"/>
    </x:row>
    <x:row r="87">
      <x:c r="A87" s="254"/>
      <x:c r="B87" s="254"/>
      <x:c r="C87" s="254"/>
      <x:c r="D87" s="254"/>
      <x:c r="E87" s="254"/>
      <x:c r="F87" s="254"/>
      <x:c r="G87" s="254"/>
      <x:c r="H87" s="254"/>
      <x:c r="I87" s="254"/>
      <x:c r="J87" s="254"/>
      <x:c r="K87" s="254"/>
    </x:row>
    <x:row r="88">
      <x:c r="A88" s="254"/>
      <x:c r="B88" s="254"/>
      <x:c r="C88" s="254"/>
      <x:c r="D88" s="254"/>
      <x:c r="E88" s="254"/>
      <x:c r="F88" s="254"/>
      <x:c r="G88" s="254"/>
      <x:c r="H88" s="254"/>
      <x:c r="I88" s="254"/>
      <x:c r="J88" s="254"/>
      <x:c r="K88" s="254"/>
    </x:row>
    <x:row r="89">
      <x:c r="A89" s="254"/>
      <x:c r="B89" s="254"/>
      <x:c r="C89" s="254"/>
      <x:c r="D89" s="254"/>
      <x:c r="E89" s="254"/>
      <x:c r="F89" s="254"/>
      <x:c r="G89" s="254"/>
      <x:c r="H89" s="254"/>
      <x:c r="I89" s="254"/>
      <x:c r="J89" s="254"/>
      <x:c r="K89" s="254"/>
    </x:row>
    <x:row r="90">
      <x:c r="A90" s="254"/>
      <x:c r="B90" s="254"/>
      <x:c r="C90" s="254"/>
      <x:c r="D90" s="254"/>
      <x:c r="E90" s="254"/>
      <x:c r="F90" s="254"/>
      <x:c r="G90" s="254"/>
      <x:c r="H90" s="254"/>
      <x:c r="I90" s="254"/>
      <x:c r="J90" s="254"/>
      <x:c r="K90" s="254"/>
    </x:row>
    <x:row r="91">
      <x:c r="A91" s="254"/>
      <x:c r="B91" s="254"/>
      <x:c r="C91" s="254"/>
      <x:c r="D91" s="254"/>
      <x:c r="E91" s="254"/>
      <x:c r="F91" s="254"/>
      <x:c r="G91" s="254"/>
      <x:c r="H91" s="254"/>
      <x:c r="I91" s="254"/>
      <x:c r="J91" s="254"/>
      <x:c r="K91" s="254"/>
    </x:row>
    <x:row r="92">
      <x:c r="A92" s="254"/>
      <x:c r="B92" s="254"/>
      <x:c r="C92" s="254"/>
      <x:c r="D92" s="254"/>
      <x:c r="E92" s="254"/>
      <x:c r="F92" s="254"/>
      <x:c r="G92" s="254"/>
      <x:c r="H92" s="254"/>
      <x:c r="I92" s="254"/>
      <x:c r="J92" s="254"/>
      <x:c r="K92" s="254"/>
    </x:row>
    <x:row r="93">
      <x:c r="A93" s="254"/>
      <x:c r="B93" s="254"/>
      <x:c r="C93" s="254"/>
      <x:c r="D93" s="254"/>
      <x:c r="E93" s="254"/>
      <x:c r="F93" s="254"/>
      <x:c r="G93" s="254"/>
      <x:c r="H93" s="254"/>
      <x:c r="I93" s="254"/>
      <x:c r="J93" s="254"/>
      <x:c r="K93" s="254"/>
    </x:row>
    <x:row r="94">
      <x:c r="A94" s="254"/>
      <x:c r="B94" s="254"/>
      <x:c r="C94" s="254"/>
      <x:c r="D94" s="254"/>
      <x:c r="E94" s="254"/>
      <x:c r="F94" s="254"/>
      <x:c r="G94" s="254"/>
      <x:c r="H94" s="254"/>
      <x:c r="I94" s="254"/>
      <x:c r="J94" s="254"/>
      <x:c r="K94" s="254"/>
    </x:row>
    <x:row r="95">
      <x:c r="A95" s="254"/>
      <x:c r="B95" s="254"/>
      <x:c r="C95" s="254"/>
      <x:c r="D95" s="254"/>
      <x:c r="E95" s="254"/>
      <x:c r="F95" s="254"/>
      <x:c r="G95" s="254"/>
      <x:c r="H95" s="254"/>
      <x:c r="I95" s="254"/>
      <x:c r="J95" s="254"/>
      <x:c r="K95" s="254"/>
    </x:row>
    <x:row r="96">
      <x:c r="A96" s="254"/>
      <x:c r="B96" s="254"/>
      <x:c r="C96" s="254"/>
      <x:c r="D96" s="254"/>
      <x:c r="E96" s="254"/>
      <x:c r="F96" s="254"/>
      <x:c r="G96" s="254"/>
      <x:c r="H96" s="254"/>
      <x:c r="I96" s="254"/>
      <x:c r="J96" s="254"/>
      <x:c r="K96" s="254"/>
    </x:row>
    <x:row r="97">
      <x:c r="A97" s="254"/>
      <x:c r="B97" s="254"/>
      <x:c r="C97" s="254"/>
      <x:c r="D97" s="254"/>
      <x:c r="E97" s="254"/>
      <x:c r="F97" s="254"/>
      <x:c r="G97" s="254"/>
      <x:c r="H97" s="254"/>
      <x:c r="I97" s="254"/>
      <x:c r="J97" s="254"/>
      <x:c r="K97" s="254"/>
    </x:row>
    <x:row r="98">
      <x:c r="A98" s="254"/>
      <x:c r="B98" s="254"/>
      <x:c r="C98" s="254"/>
      <x:c r="D98" s="254"/>
      <x:c r="E98" s="254"/>
      <x:c r="F98" s="254"/>
      <x:c r="G98" s="254"/>
      <x:c r="H98" s="254"/>
      <x:c r="I98" s="254"/>
      <x:c r="J98" s="254"/>
      <x:c r="K98" s="254"/>
    </x:row>
    <x:row r="99">
      <x:c r="A99" s="254"/>
      <x:c r="B99" s="254"/>
      <x:c r="C99" s="254"/>
      <x:c r="D99" s="254"/>
      <x:c r="E99" s="254"/>
      <x:c r="F99" s="254"/>
      <x:c r="G99" s="254"/>
      <x:c r="H99" s="254"/>
      <x:c r="I99" s="254"/>
      <x:c r="J99" s="254"/>
      <x:c r="K99" s="254"/>
    </x:row>
    <x:row r="100">
      <x:c r="A100" s="254"/>
      <x:c r="B100" s="254"/>
      <x:c r="C100" s="254"/>
      <x:c r="D100" s="254"/>
      <x:c r="E100" s="254"/>
      <x:c r="F100" s="254"/>
      <x:c r="G100" s="254"/>
      <x:c r="H100" s="254"/>
      <x:c r="I100" s="254"/>
      <x:c r="J100" s="254"/>
      <x:c r="K100" s="254"/>
    </x:row>
    <x:row r="101">
      <x:c r="A101" s="254"/>
      <x:c r="B101" s="254"/>
      <x:c r="C101" s="254"/>
      <x:c r="D101" s="254"/>
      <x:c r="E101" s="254"/>
      <x:c r="F101" s="254"/>
      <x:c r="G101" s="254"/>
      <x:c r="H101" s="254"/>
      <x:c r="I101" s="254"/>
      <x:c r="J101" s="254"/>
      <x:c r="K101" s="254"/>
    </x:row>
    <x:row r="102">
      <x:c r="A102" s="254"/>
      <x:c r="B102" s="254"/>
      <x:c r="C102" s="254"/>
      <x:c r="D102" s="254"/>
      <x:c r="E102" s="254"/>
      <x:c r="F102" s="254"/>
      <x:c r="G102" s="254"/>
      <x:c r="H102" s="254"/>
      <x:c r="I102" s="254"/>
      <x:c r="J102" s="254"/>
      <x:c r="K102" s="254"/>
    </x:row>
    <x:row r="103">
      <x:c r="A103" s="254"/>
      <x:c r="B103" s="254"/>
      <x:c r="C103" s="254"/>
      <x:c r="D103" s="254"/>
      <x:c r="E103" s="254"/>
      <x:c r="F103" s="254"/>
      <x:c r="G103" s="254"/>
      <x:c r="H103" s="254"/>
      <x:c r="I103" s="254"/>
      <x:c r="J103" s="254"/>
      <x:c r="K103" s="254"/>
    </x:row>
    <x:row r="104">
      <x:c r="A104" s="254"/>
      <x:c r="B104" s="254"/>
      <x:c r="C104" s="254"/>
      <x:c r="D104" s="254"/>
      <x:c r="E104" s="254"/>
      <x:c r="F104" s="254"/>
      <x:c r="G104" s="254"/>
      <x:c r="H104" s="254"/>
      <x:c r="I104" s="254"/>
      <x:c r="J104" s="254"/>
      <x:c r="K104" s="254"/>
    </x:row>
    <x:row r="105">
      <x:c r="A105" s="254"/>
      <x:c r="B105" s="254"/>
      <x:c r="C105" s="254"/>
      <x:c r="D105" s="254"/>
      <x:c r="E105" s="254"/>
      <x:c r="F105" s="254"/>
      <x:c r="G105" s="254"/>
      <x:c r="H105" s="254"/>
      <x:c r="I105" s="254"/>
      <x:c r="J105" s="254"/>
      <x:c r="K105" s="254"/>
    </x:row>
    <x:row r="106">
      <x:c r="A106" s="254"/>
      <x:c r="B106" s="254"/>
      <x:c r="C106" s="254"/>
      <x:c r="D106" s="254"/>
      <x:c r="E106" s="254"/>
      <x:c r="F106" s="254"/>
      <x:c r="G106" s="254"/>
      <x:c r="H106" s="254"/>
      <x:c r="I106" s="254"/>
      <x:c r="J106" s="254"/>
      <x:c r="K106" s="254"/>
    </x:row>
    <x:row r="107">
      <x:c r="A107" s="254"/>
      <x:c r="B107" s="254"/>
      <x:c r="C107" s="254"/>
      <x:c r="D107" s="254"/>
      <x:c r="E107" s="254"/>
      <x:c r="F107" s="254"/>
      <x:c r="G107" s="254"/>
      <x:c r="H107" s="254"/>
      <x:c r="I107" s="254"/>
      <x:c r="J107" s="254"/>
      <x:c r="K107" s="254"/>
    </x:row>
    <x:row r="108">
      <x:c r="A108" s="254"/>
      <x:c r="B108" s="254"/>
      <x:c r="C108" s="254"/>
      <x:c r="D108" s="254"/>
      <x:c r="E108" s="254"/>
      <x:c r="F108" s="254"/>
      <x:c r="G108" s="254"/>
      <x:c r="H108" s="254"/>
      <x:c r="I108" s="254"/>
      <x:c r="J108" s="254"/>
      <x:c r="K108" s="254"/>
    </x:row>
    <x:row r="109">
      <x:c r="A109" s="254"/>
      <x:c r="B109" s="254"/>
      <x:c r="C109" s="254"/>
      <x:c r="D109" s="254"/>
      <x:c r="E109" s="254"/>
      <x:c r="F109" s="254"/>
      <x:c r="G109" s="254"/>
      <x:c r="H109" s="254"/>
      <x:c r="I109" s="254"/>
      <x:c r="J109" s="254"/>
      <x:c r="K109" s="254"/>
    </x:row>
    <x:row r="110">
      <x:c r="A110" s="254"/>
      <x:c r="B110" s="254"/>
      <x:c r="C110" s="254"/>
      <x:c r="D110" s="254"/>
      <x:c r="E110" s="254"/>
      <x:c r="F110" s="254"/>
      <x:c r="G110" s="254"/>
      <x:c r="H110" s="254"/>
      <x:c r="I110" s="254"/>
      <x:c r="J110" s="254"/>
      <x:c r="K110" s="254"/>
    </x:row>
    <x:row r="111">
      <x:c r="A111" s="254"/>
      <x:c r="B111" s="254"/>
      <x:c r="C111" s="254"/>
      <x:c r="D111" s="254"/>
      <x:c r="E111" s="254"/>
      <x:c r="F111" s="254"/>
      <x:c r="G111" s="254"/>
      <x:c r="H111" s="254"/>
      <x:c r="I111" s="254"/>
      <x:c r="J111" s="254"/>
      <x:c r="K111" s="254"/>
    </x:row>
    <x:row r="112">
      <x:c r="A112" s="254"/>
      <x:c r="B112" s="254"/>
      <x:c r="C112" s="254"/>
      <x:c r="D112" s="254"/>
      <x:c r="E112" s="254"/>
      <x:c r="F112" s="254"/>
      <x:c r="G112" s="254"/>
      <x:c r="H112" s="254"/>
      <x:c r="I112" s="254"/>
      <x:c r="J112" s="254"/>
      <x:c r="K112" s="254"/>
    </x:row>
    <x:row r="113">
      <x:c r="A113" s="254"/>
      <x:c r="B113" s="254"/>
      <x:c r="C113" s="254"/>
      <x:c r="D113" s="254"/>
      <x:c r="E113" s="254"/>
      <x:c r="F113" s="254"/>
      <x:c r="G113" s="254"/>
      <x:c r="H113" s="254"/>
      <x:c r="I113" s="254"/>
      <x:c r="J113" s="254"/>
      <x:c r="K113" s="254"/>
    </x:row>
    <x:row r="114">
      <x:c r="A114" s="254"/>
      <x:c r="B114" s="254"/>
      <x:c r="C114" s="254"/>
      <x:c r="D114" s="254"/>
      <x:c r="E114" s="254"/>
      <x:c r="F114" s="254"/>
      <x:c r="G114" s="254"/>
      <x:c r="H114" s="254"/>
      <x:c r="I114" s="254"/>
      <x:c r="J114" s="254"/>
      <x:c r="K114" s="254"/>
    </x:row>
    <x:row r="115">
      <x:c r="A115" s="254"/>
      <x:c r="B115" s="254"/>
      <x:c r="C115" s="254"/>
      <x:c r="D115" s="254"/>
      <x:c r="E115" s="254"/>
      <x:c r="F115" s="254"/>
      <x:c r="G115" s="254"/>
      <x:c r="H115" s="254"/>
      <x:c r="I115" s="254"/>
      <x:c r="J115" s="254"/>
      <x:c r="K115" s="254"/>
    </x:row>
    <x:row r="116">
      <x:c r="A116" s="254"/>
      <x:c r="B116" s="254"/>
      <x:c r="C116" s="254"/>
      <x:c r="D116" s="254"/>
      <x:c r="E116" s="254"/>
      <x:c r="F116" s="254"/>
      <x:c r="G116" s="254"/>
      <x:c r="H116" s="254"/>
      <x:c r="I116" s="254"/>
      <x:c r="J116" s="254"/>
      <x:c r="K116" s="254"/>
    </x:row>
    <x:row r="117">
      <x:c r="A117" s="254"/>
      <x:c r="B117" s="254"/>
      <x:c r="C117" s="254"/>
      <x:c r="D117" s="254"/>
      <x:c r="E117" s="254"/>
      <x:c r="F117" s="254"/>
      <x:c r="G117" s="254"/>
      <x:c r="H117" s="254"/>
      <x:c r="I117" s="254"/>
      <x:c r="J117" s="254"/>
      <x:c r="K117" s="254"/>
    </x:row>
    <x:row r="118">
      <x:c r="A118" s="254"/>
      <x:c r="B118" s="254"/>
      <x:c r="C118" s="254"/>
      <x:c r="D118" s="254"/>
      <x:c r="E118" s="254"/>
      <x:c r="F118" s="254"/>
      <x:c r="G118" s="254"/>
      <x:c r="H118" s="254"/>
      <x:c r="I118" s="254"/>
      <x:c r="J118" s="254"/>
      <x:c r="K118" s="254"/>
    </x:row>
    <x:row r="119">
      <x:c r="A119" s="254"/>
      <x:c r="B119" s="254"/>
      <x:c r="C119" s="254"/>
      <x:c r="D119" s="254"/>
      <x:c r="E119" s="254"/>
      <x:c r="F119" s="254"/>
      <x:c r="G119" s="254"/>
      <x:c r="H119" s="254"/>
      <x:c r="I119" s="254"/>
      <x:c r="J119" s="254"/>
      <x:c r="K119" s="254"/>
    </x:row>
    <x:row r="120">
      <x:c r="A120" s="254"/>
      <x:c r="B120" s="254"/>
      <x:c r="C120" s="254"/>
      <x:c r="D120" s="254"/>
      <x:c r="E120" s="254"/>
      <x:c r="F120" s="254"/>
      <x:c r="G120" s="254"/>
      <x:c r="H120" s="254"/>
      <x:c r="I120" s="254"/>
      <x:c r="J120" s="254"/>
      <x:c r="K120" s="254"/>
    </x:row>
    <x:row r="121">
      <x:c r="A121" s="254"/>
      <x:c r="B121" s="254"/>
      <x:c r="C121" s="254"/>
      <x:c r="D121" s="254"/>
      <x:c r="E121" s="254"/>
      <x:c r="F121" s="254"/>
      <x:c r="G121" s="254"/>
      <x:c r="H121" s="254"/>
      <x:c r="I121" s="254"/>
      <x:c r="J121" s="254"/>
      <x:c r="K121" s="254"/>
    </x:row>
    <x:row r="122">
      <x:c r="A122" s="254"/>
      <x:c r="B122" s="254"/>
      <x:c r="C122" s="254"/>
      <x:c r="D122" s="254"/>
      <x:c r="E122" s="254"/>
      <x:c r="F122" s="254"/>
      <x:c r="G122" s="254"/>
      <x:c r="H122" s="254"/>
      <x:c r="I122" s="254"/>
      <x:c r="J122" s="254"/>
      <x:c r="K122" s="254"/>
    </x:row>
    <x:row r="123">
      <x:c r="A123" s="254"/>
      <x:c r="B123" s="254"/>
      <x:c r="C123" s="254"/>
      <x:c r="D123" s="254"/>
      <x:c r="E123" s="254"/>
      <x:c r="F123" s="254"/>
      <x:c r="G123" s="254"/>
      <x:c r="H123" s="254"/>
      <x:c r="I123" s="254"/>
      <x:c r="J123" s="254"/>
      <x:c r="K123" s="254"/>
    </x:row>
    <x:row r="124">
      <x:c r="A124" s="254"/>
      <x:c r="B124" s="254"/>
      <x:c r="C124" s="254"/>
      <x:c r="D124" s="254"/>
      <x:c r="E124" s="254"/>
      <x:c r="F124" s="254"/>
      <x:c r="G124" s="254"/>
      <x:c r="H124" s="254"/>
      <x:c r="I124" s="254"/>
      <x:c r="J124" s="254"/>
      <x:c r="K124" s="254"/>
    </x:row>
    <x:row r="125">
      <x:c r="A125" s="254"/>
      <x:c r="B125" s="254"/>
      <x:c r="C125" s="254"/>
      <x:c r="D125" s="254"/>
      <x:c r="E125" s="254"/>
      <x:c r="F125" s="254"/>
      <x:c r="G125" s="254"/>
      <x:c r="H125" s="254"/>
      <x:c r="I125" s="254"/>
      <x:c r="J125" s="254"/>
      <x:c r="K125" s="254"/>
    </x:row>
    <x:row r="126">
      <x:c r="A126" s="254"/>
      <x:c r="B126" s="254"/>
      <x:c r="C126" s="254"/>
      <x:c r="D126" s="254"/>
      <x:c r="E126" s="254"/>
      <x:c r="F126" s="254"/>
      <x:c r="G126" s="254"/>
      <x:c r="H126" s="254"/>
      <x:c r="I126" s="254"/>
      <x:c r="J126" s="254"/>
      <x:c r="K126" s="254"/>
    </x:row>
    <x:row r="127">
      <x:c r="A127" s="254"/>
      <x:c r="B127" s="254"/>
      <x:c r="C127" s="254"/>
      <x:c r="D127" s="254"/>
      <x:c r="E127" s="254"/>
      <x:c r="F127" s="254"/>
      <x:c r="G127" s="254"/>
      <x:c r="H127" s="254"/>
      <x:c r="I127" s="254"/>
      <x:c r="J127" s="254"/>
      <x:c r="K127" s="254"/>
    </x:row>
    <x:row r="128">
      <x:c r="A128" s="254"/>
      <x:c r="B128" s="254"/>
      <x:c r="C128" s="254"/>
      <x:c r="D128" s="254"/>
      <x:c r="E128" s="254"/>
      <x:c r="F128" s="254"/>
      <x:c r="G128" s="254"/>
      <x:c r="H128" s="254"/>
      <x:c r="I128" s="254"/>
      <x:c r="J128" s="254"/>
      <x:c r="K128" s="254"/>
    </x:row>
    <x:row r="129">
      <x:c r="A129" s="254"/>
      <x:c r="B129" s="254"/>
      <x:c r="C129" s="254"/>
      <x:c r="D129" s="254"/>
      <x:c r="E129" s="254"/>
      <x:c r="F129" s="254"/>
      <x:c r="G129" s="254"/>
      <x:c r="H129" s="254"/>
      <x:c r="I129" s="254"/>
      <x:c r="J129" s="254"/>
      <x:c r="K129" s="254"/>
    </x:row>
    <x:row r="130">
      <x:c r="A130" s="254"/>
      <x:c r="B130" s="254"/>
      <x:c r="C130" s="254"/>
      <x:c r="D130" s="254"/>
      <x:c r="E130" s="254"/>
      <x:c r="F130" s="254"/>
      <x:c r="G130" s="254"/>
      <x:c r="H130" s="254"/>
      <x:c r="I130" s="254"/>
      <x:c r="J130" s="254"/>
      <x:c r="K130" s="254"/>
    </x:row>
    <x:row r="131">
      <x:c r="A131" s="254"/>
      <x:c r="B131" s="254"/>
      <x:c r="C131" s="254"/>
      <x:c r="D131" s="254"/>
      <x:c r="E131" s="254"/>
      <x:c r="F131" s="254"/>
      <x:c r="G131" s="254"/>
      <x:c r="H131" s="254"/>
      <x:c r="I131" s="254"/>
      <x:c r="J131" s="254"/>
      <x:c r="K131" s="254"/>
    </x:row>
    <x:row r="132">
      <x:c r="A132" s="254"/>
      <x:c r="B132" s="254"/>
      <x:c r="C132" s="254"/>
      <x:c r="D132" s="254"/>
      <x:c r="E132" s="254"/>
      <x:c r="F132" s="254"/>
      <x:c r="G132" s="254"/>
      <x:c r="H132" s="254"/>
      <x:c r="I132" s="254"/>
      <x:c r="J132" s="254"/>
      <x:c r="K132" s="254"/>
    </x:row>
    <x:row r="133">
      <x:c r="A133" s="254"/>
      <x:c r="B133" s="254"/>
      <x:c r="C133" s="254"/>
      <x:c r="D133" s="254"/>
      <x:c r="E133" s="254"/>
      <x:c r="F133" s="254"/>
      <x:c r="G133" s="254"/>
      <x:c r="H133" s="254"/>
      <x:c r="I133" s="254"/>
      <x:c r="J133" s="254"/>
      <x:c r="K133" s="254"/>
    </x:row>
    <x:row r="134">
      <x:c r="A134" s="254"/>
      <x:c r="B134" s="254"/>
      <x:c r="C134" s="254"/>
      <x:c r="D134" s="254"/>
      <x:c r="E134" s="254"/>
      <x:c r="F134" s="254"/>
      <x:c r="G134" s="254"/>
      <x:c r="H134" s="254"/>
      <x:c r="I134" s="254"/>
      <x:c r="J134" s="254"/>
      <x:c r="K134" s="254"/>
    </x:row>
    <x:row r="135">
      <x:c r="A135" s="254"/>
      <x:c r="B135" s="254"/>
      <x:c r="C135" s="254"/>
      <x:c r="D135" s="254"/>
      <x:c r="E135" s="254"/>
      <x:c r="F135" s="254"/>
      <x:c r="G135" s="254"/>
      <x:c r="H135" s="254"/>
      <x:c r="I135" s="254"/>
      <x:c r="J135" s="254"/>
      <x:c r="K135" s="254"/>
    </x:row>
    <x:row r="136">
      <x:c r="A136" s="254"/>
      <x:c r="B136" s="254"/>
      <x:c r="C136" s="254"/>
      <x:c r="D136" s="254"/>
      <x:c r="E136" s="254"/>
      <x:c r="F136" s="254"/>
      <x:c r="G136" s="254"/>
      <x:c r="H136" s="254"/>
      <x:c r="I136" s="254"/>
      <x:c r="J136" s="254"/>
      <x:c r="K136" s="254"/>
    </x:row>
    <x:row r="137">
      <x:c r="A137" s="254"/>
      <x:c r="B137" s="254"/>
      <x:c r="C137" s="254"/>
      <x:c r="D137" s="254"/>
      <x:c r="E137" s="254"/>
      <x:c r="F137" s="254"/>
      <x:c r="G137" s="254"/>
      <x:c r="H137" s="254"/>
      <x:c r="I137" s="254"/>
      <x:c r="J137" s="254"/>
      <x:c r="K137" s="254"/>
    </x:row>
    <x:row r="138">
      <x:c r="A138" s="254"/>
      <x:c r="B138" s="254"/>
      <x:c r="C138" s="254"/>
      <x:c r="D138" s="254"/>
      <x:c r="E138" s="254"/>
      <x:c r="F138" s="254"/>
      <x:c r="G138" s="254"/>
      <x:c r="H138" s="254"/>
      <x:c r="I138" s="254"/>
      <x:c r="J138" s="254"/>
      <x:c r="K138" s="254"/>
    </x:row>
    <x:row r="139">
      <x:c r="A139" s="254"/>
      <x:c r="B139" s="254"/>
      <x:c r="C139" s="254"/>
      <x:c r="D139" s="254"/>
      <x:c r="E139" s="254"/>
      <x:c r="F139" s="254"/>
      <x:c r="G139" s="254"/>
      <x:c r="H139" s="254"/>
      <x:c r="I139" s="254"/>
      <x:c r="J139" s="254"/>
      <x:c r="K139" s="254"/>
    </x:row>
    <x:row r="140">
      <x:c r="A140" s="254"/>
      <x:c r="B140" s="254"/>
      <x:c r="C140" s="254"/>
      <x:c r="D140" s="254"/>
      <x:c r="E140" s="254"/>
      <x:c r="F140" s="254"/>
      <x:c r="G140" s="254"/>
      <x:c r="H140" s="254"/>
      <x:c r="I140" s="254"/>
      <x:c r="J140" s="254"/>
      <x:c r="K140" s="254"/>
    </x:row>
    <x:row r="141">
      <x:c r="A141" s="254"/>
      <x:c r="B141" s="254"/>
      <x:c r="C141" s="254"/>
      <x:c r="D141" s="254"/>
      <x:c r="E141" s="254"/>
      <x:c r="F141" s="254"/>
      <x:c r="G141" s="254"/>
      <x:c r="H141" s="254"/>
      <x:c r="I141" s="254"/>
      <x:c r="J141" s="254"/>
      <x:c r="K141" s="254"/>
    </x:row>
    <x:row r="142">
      <x:c r="A142" s="254"/>
      <x:c r="B142" s="254"/>
      <x:c r="C142" s="254"/>
      <x:c r="D142" s="254"/>
      <x:c r="E142" s="254"/>
      <x:c r="F142" s="254"/>
      <x:c r="G142" s="254"/>
      <x:c r="H142" s="254"/>
      <x:c r="I142" s="254"/>
      <x:c r="J142" s="254"/>
      <x:c r="K142" s="254"/>
    </x:row>
    <x:row r="143">
      <x:c r="A143" s="254"/>
      <x:c r="B143" s="254"/>
      <x:c r="C143" s="254"/>
      <x:c r="D143" s="254"/>
      <x:c r="E143" s="254"/>
      <x:c r="F143" s="254"/>
      <x:c r="G143" s="254"/>
      <x:c r="H143" s="254"/>
      <x:c r="I143" s="254"/>
      <x:c r="J143" s="254"/>
      <x:c r="K143" s="254"/>
    </x:row>
    <x:row r="144">
      <x:c r="A144" s="254"/>
      <x:c r="B144" s="254"/>
      <x:c r="C144" s="254"/>
      <x:c r="D144" s="254"/>
      <x:c r="E144" s="254"/>
      <x:c r="F144" s="254"/>
      <x:c r="G144" s="254"/>
      <x:c r="H144" s="254"/>
      <x:c r="I144" s="254"/>
      <x:c r="J144" s="254"/>
      <x:c r="K144" s="254"/>
    </x:row>
    <x:row r="145">
      <x:c r="A145" s="254"/>
      <x:c r="B145" s="254"/>
      <x:c r="C145" s="254"/>
      <x:c r="D145" s="254"/>
      <x:c r="E145" s="254"/>
      <x:c r="F145" s="254"/>
      <x:c r="G145" s="254"/>
      <x:c r="H145" s="254"/>
      <x:c r="I145" s="254"/>
      <x:c r="J145" s="254"/>
      <x:c r="K145" s="254"/>
    </x:row>
    <x:row r="146">
      <x:c r="A146" s="254"/>
      <x:c r="B146" s="254"/>
      <x:c r="C146" s="254"/>
      <x:c r="D146" s="254"/>
      <x:c r="E146" s="254"/>
      <x:c r="F146" s="254"/>
      <x:c r="G146" s="254"/>
      <x:c r="H146" s="254"/>
      <x:c r="I146" s="254"/>
      <x:c r="J146" s="254"/>
      <x:c r="K146" s="254"/>
    </x:row>
    <x:row r="147">
      <x:c r="A147" s="254"/>
      <x:c r="B147" s="254"/>
      <x:c r="C147" s="254"/>
      <x:c r="D147" s="254"/>
      <x:c r="E147" s="254"/>
      <x:c r="F147" s="254"/>
      <x:c r="G147" s="254"/>
      <x:c r="H147" s="254"/>
      <x:c r="I147" s="254"/>
      <x:c r="J147" s="254"/>
      <x:c r="K147" s="254"/>
    </x:row>
    <x:row r="148">
      <x:c r="A148" s="254"/>
      <x:c r="B148" s="254"/>
      <x:c r="C148" s="254"/>
      <x:c r="D148" s="254"/>
      <x:c r="E148" s="254"/>
      <x:c r="F148" s="254"/>
      <x:c r="G148" s="254"/>
      <x:c r="H148" s="254"/>
      <x:c r="I148" s="254"/>
      <x:c r="J148" s="254"/>
      <x:c r="K148" s="254"/>
    </x:row>
    <x:row r="149">
      <x:c r="A149" s="254"/>
      <x:c r="B149" s="254"/>
      <x:c r="C149" s="254"/>
      <x:c r="D149" s="254"/>
      <x:c r="E149" s="254"/>
      <x:c r="F149" s="254"/>
      <x:c r="G149" s="254"/>
      <x:c r="H149" s="254"/>
      <x:c r="I149" s="254"/>
      <x:c r="J149" s="254"/>
      <x:c r="K149" s="254"/>
    </x:row>
    <x:row r="150">
      <x:c r="A150" s="254"/>
      <x:c r="B150" s="254"/>
      <x:c r="C150" s="254"/>
      <x:c r="D150" s="254"/>
      <x:c r="E150" s="254"/>
      <x:c r="F150" s="254"/>
      <x:c r="G150" s="254"/>
      <x:c r="H150" s="254"/>
      <x:c r="I150" s="254"/>
      <x:c r="J150" s="254"/>
      <x:c r="K150" s="254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5" customHeight="1">
      <x:c r="A1" s="5" t="str">
        <x:v>CCA SUMMARY</x:v>
      </x:c>
      <x:c r="B1" s="5"/>
      <x:c r="C1" s="5"/>
      <x:c r="D1" s="5"/>
      <x:c r="E1" s="5"/>
      <x:c r="F1" s="5"/>
      <x:c r="G1" s="5"/>
      <x:c r="H1" s="5"/>
      <x:c r="I1" s="254"/>
      <x:c r="J1" s="254"/>
      <x:c r="K1" s="254"/>
    </x:row>
    <x:row r="2" ht="22" customHeight="1">
      <x:c r="A2" s="13" t="str">
        <x:v>Cross-sectional view of primary valuation, secondary valuation and operating metrics</x:v>
      </x:c>
      <x:c r="B2" s="13"/>
      <x:c r="C2" s="13"/>
      <x:c r="D2" s="13"/>
      <x:c r="E2" s="13"/>
      <x:c r="F2" s="13"/>
      <x:c r="G2" s="13"/>
      <x:c r="H2" s="13"/>
      <x:c r="I2" s="254"/>
      <x:c r="J2" s="254"/>
      <x:c r="K2" s="254"/>
    </x:row>
    <x:row r="3">
      <x:c r="A3" s="254"/>
      <x:c r="B3" s="254"/>
      <x:c r="C3" s="254"/>
      <x:c r="D3" s="254"/>
      <x:c r="E3" s="254"/>
      <x:c r="F3" s="254"/>
      <x:c r="G3" s="254"/>
      <x:c r="H3" s="254"/>
      <x:c r="I3" s="254"/>
      <x:c r="J3" s="254"/>
      <x:c r="K3" s="254"/>
    </x:row>
    <x:row r="4" ht="32" customHeight="1">
      <x:c r="A4" s="36" t="str">
        <x:v>Metric</x:v>
      </x:c>
      <x:c r="B4" s="37" t="str">
        <x:v>Axis Bank</x:v>
      </x:c>
      <x:c r="C4" s="37" t="str">
        <x:v>HDFC Bank</x:v>
      </x:c>
      <x:c r="D4" s="37" t="str">
        <x:v>ICICI Bank</x:v>
      </x:c>
      <x:c r="E4" s="37" t="str">
        <x:v>Kotak Mahindra Bank</x:v>
      </x:c>
      <x:c r="F4" s="37" t="str">
        <x:v>Federal Bank</x:v>
      </x:c>
      <x:c r="G4" s="38" t="str">
        <x:v>Peer Median</x:v>
      </x:c>
      <x:c r="H4" s="254"/>
      <x:c r="I4" s="254"/>
      <x:c r="J4" s="254"/>
      <x:c r="K4" s="254"/>
    </x:row>
    <x:row r="5">
      <x:c r="A5" s="266" t="str">
        <x:v>P/TBV (x)</x:v>
      </x:c>
      <x:c r="B5" s="217" t="n">
        <x:f>'Valuation &amp; Tangible'!B18</x:f>
        <x:v>1.8192442144467351</x:v>
      </x:c>
      <x:c r="C5" s="217" t="n">
        <x:f>'Valuation &amp; Tangible'!C18</x:f>
        <x:v>1.9147368142654457</x:v>
      </x:c>
      <x:c r="D5" s="217" t="n">
        <x:f>'Valuation &amp; Tangible'!D18</x:f>
        <x:v>2.7197049277709042</x:v>
      </x:c>
      <x:c r="E5" s="217" t="n">
        <x:f>'Valuation &amp; Tangible'!E18</x:f>
        <x:v>2.2730170775041447</x:v>
      </x:c>
      <x:c r="F5" s="217" t="n">
        <x:f>'Valuation &amp; Tangible'!F18</x:f>
        <x:v>2.0490772419648877</x:v>
      </x:c>
      <x:c r="G5" s="219" t="n">
        <x:f>MEDIAN(B5:F5)</x:f>
        <x:v>2.0490772419648877</x:v>
      </x:c>
      <x:c r="H5" s="254"/>
      <x:c r="I5" s="254"/>
      <x:c r="J5" s="254"/>
      <x:c r="K5" s="254"/>
    </x:row>
    <x:row r="6">
      <x:c r="A6" s="266" t="str">
        <x:v>P/B (x)</x:v>
      </x:c>
      <x:c r="B6" s="217" t="n">
        <x:f>'Valuation &amp; Tangible'!B17</x:f>
        <x:v>1.8167966762681866</x:v>
      </x:c>
      <x:c r="C6" s="217" t="n">
        <x:f>'Valuation &amp; Tangible'!C17</x:f>
        <x:v>1.9147368142654457</x:v>
      </x:c>
      <x:c r="D6" s="217" t="n">
        <x:f>'Valuation &amp; Tangible'!D17</x:f>
        <x:v>2.6406735628562075</x:v>
      </x:c>
      <x:c r="E6" s="217" t="n">
        <x:f>'Valuation &amp; Tangible'!E17</x:f>
        <x:v>2.261129341887666</x:v>
      </x:c>
      <x:c r="F6" s="217" t="n">
        <x:f>'Valuation &amp; Tangible'!F17</x:f>
        <x:v>2.0490772419648877</x:v>
      </x:c>
      <x:c r="G6" s="219" t="n">
        <x:f>MEDIAN(B6:F6)</x:f>
        <x:v>2.0490772419648877</x:v>
      </x:c>
      <x:c r="H6" s="254"/>
      <x:c r="I6" s="254"/>
      <x:c r="J6" s="254"/>
      <x:c r="K6" s="254"/>
    </x:row>
    <x:row r="7">
      <x:c r="A7" s="266" t="str">
        <x:v>P/E (x)</x:v>
      </x:c>
      <x:c r="B7" s="217" t="n">
        <x:f>'Valuation &amp; Tangible'!B19</x:f>
        <x:v>15.2</x:v>
      </x:c>
      <x:c r="C7" s="217" t="n">
        <x:f>'Valuation &amp; Tangible'!C19</x:f>
        <x:v>14.9</x:v>
      </x:c>
      <x:c r="D7" s="217" t="n">
        <x:f>'Valuation &amp; Tangible'!D19</x:f>
        <x:v>18.4</x:v>
      </x:c>
      <x:c r="E7" s="217" t="n">
        <x:f>'Valuation &amp; Tangible'!E19</x:f>
        <x:v>20.5</x:v>
      </x:c>
      <x:c r="F7" s="217" t="n">
        <x:f>'Valuation &amp; Tangible'!F19</x:f>
        <x:v>18.6</x:v>
      </x:c>
      <x:c r="G7" s="219" t="n">
        <x:f>MEDIAN(B7:F7)</x:f>
        <x:v>18.4</x:v>
      </x:c>
      <x:c r="H7" s="254"/>
      <x:c r="I7" s="254"/>
      <x:c r="J7" s="254"/>
      <x:c r="K7" s="254"/>
    </x:row>
    <x:row r="8">
      <x:c r="A8" s="266" t="str">
        <x:v>TBVPS (₹)</x:v>
      </x:c>
      <x:c r="B8" s="203" t="n">
        <x:f>'Valuation &amp; Tangible'!B14</x:f>
        <x:v>690.9462676962677</x:v>
      </x:c>
      <x:c r="C8" s="203" t="n">
        <x:f>'Valuation &amp; Tangible'!C14</x:f>
        <x:v>380.7311765088027</x:v>
      </x:c>
      <x:c r="D8" s="203" t="n">
        <x:f>'Valuation &amp; Tangible'!D14</x:f>
        <x:v>492.33282122905035</x:v>
      </x:c>
      <x:c r="E8" s="203" t="n">
        <x:f>'Valuation &amp; Tangible'!E14</x:f>
        <x:v>181.2568871908305</x:v>
      </x:c>
      <x:c r="F8" s="203" t="n">
        <x:f>'Valuation &amp; Tangible'!F14</x:f>
        <x:v>162.51217532467533</x:v>
      </x:c>
      <x:c r="G8" s="205" t="n">
        <x:f>MEDIAN(B8:F8)</x:f>
        <x:v>380.7311765088027</x:v>
      </x:c>
      <x:c r="H8" s="254"/>
      <x:c r="I8" s="254"/>
      <x:c r="J8" s="254"/>
      <x:c r="K8" s="254"/>
    </x:row>
    <x:row r="9">
      <x:c r="A9" s="266" t="str">
        <x:v>Q1 FY27 ROE (%)</x:v>
      </x:c>
      <x:c r="B9" s="220" t="n">
        <x:f>'Operating'!B6</x:f>
        <x:v>0.1416</x:v>
      </x:c>
      <x:c r="C9" s="220" t="n">
        <x:f>'Operating'!C6</x:f>
        <x:v>0.138</x:v>
      </x:c>
      <x:c r="D9" s="220" t="n">
        <x:f>'Operating'!D6</x:f>
        <x:v>0.1714</x:v>
      </x:c>
      <x:c r="E9" s="220" t="n">
        <x:f>'Operating'!E6</x:f>
        <x:v>0.1198</x:v>
      </x:c>
      <x:c r="F9" s="220" t="n">
        <x:f>'Operating'!F6</x:f>
        <x:v>0.1201</x:v>
      </x:c>
      <x:c r="G9" s="213" t="n">
        <x:f>MEDIAN(B9:F9)</x:f>
        <x:v>0.138</x:v>
      </x:c>
      <x:c r="H9" s="254"/>
      <x:c r="I9" s="254"/>
      <x:c r="J9" s="254"/>
      <x:c r="K9" s="254"/>
    </x:row>
    <x:row r="10">
      <x:c r="A10" s="266" t="str">
        <x:v>Q1 FY27 ROA (%)</x:v>
      </x:c>
      <x:c r="B10" s="220" t="n">
        <x:f>'Operating'!B7</x:f>
        <x:v>0.0151</x:v>
      </x:c>
      <x:c r="C10" s="220" t="n">
        <x:f>'Operating'!C7</x:f>
        <x:v>0.0185</x:v>
      </x:c>
      <x:c r="D10" s="220" t="n">
        <x:f>'Operating'!D7</x:f>
        <x:v>0.0249</x:v>
      </x:c>
      <x:c r="E10" s="220" t="n">
        <x:f>'Operating'!E7</x:f>
        <x:v>0.0214</x:v>
      </x:c>
      <x:c r="F10" s="220" t="n">
        <x:f>'Operating'!F7</x:f>
        <x:v>0.0122</x:v>
      </x:c>
      <x:c r="G10" s="213" t="n">
        <x:f>MEDIAN(B10:F10)</x:f>
        <x:v>0.0185</x:v>
      </x:c>
      <x:c r="H10" s="254"/>
      <x:c r="I10" s="254"/>
      <x:c r="J10" s="254"/>
      <x:c r="K10" s="254"/>
    </x:row>
    <x:row r="11">
      <x:c r="A11" s="266" t="str">
        <x:v>Q1 FY27 NIM (%)</x:v>
      </x:c>
      <x:c r="B11" s="220" t="n">
        <x:f>'Operating'!B8</x:f>
        <x:v>0.0346</x:v>
      </x:c>
      <x:c r="C11" s="220" t="n">
        <x:f>'Operating'!C8</x:f>
        <x:v>0.034</x:v>
      </x:c>
      <x:c r="D11" s="220" t="n">
        <x:f>'Operating'!D8</x:f>
        <x:v>0.0436</x:v>
      </x:c>
      <x:c r="E11" s="220" t="n">
        <x:f>'Operating'!E8</x:f>
        <x:v>0.0453</x:v>
      </x:c>
      <x:c r="F11" s="220" t="n">
        <x:f>'Operating'!F8</x:f>
        <x:v>0.0333</x:v>
      </x:c>
      <x:c r="G11" s="213" t="n">
        <x:f>MEDIAN(B11:F11)</x:f>
        <x:v>0.0346</x:v>
      </x:c>
      <x:c r="H11" s="254"/>
      <x:c r="I11" s="254"/>
      <x:c r="J11" s="254"/>
      <x:c r="K11" s="254"/>
    </x:row>
    <x:row r="12">
      <x:c r="A12" s="266" t="str">
        <x:v>Loan Growth YoY (%)</x:v>
      </x:c>
      <x:c r="B12" s="220" t="n">
        <x:f>'Operating'!B9</x:f>
        <x:v>0.19</x:v>
      </x:c>
      <x:c r="C12" s="220" t="n">
        <x:f>'Operating'!C9</x:f>
        <x:v>0.154</x:v>
      </x:c>
      <x:c r="D12" s="220" t="n">
        <x:f>'Operating'!D9</x:f>
        <x:v>0.196</x:v>
      </x:c>
      <x:c r="E12" s="220" t="n">
        <x:f>'Operating'!E9</x:f>
        <x:v>0.15</x:v>
      </x:c>
      <x:c r="F12" s="220" t="n">
        <x:f>'Operating'!F9</x:f>
        <x:v>0.15</x:v>
      </x:c>
      <x:c r="G12" s="213" t="n">
        <x:f>MEDIAN(B12:F12)</x:f>
        <x:v>0.154</x:v>
      </x:c>
      <x:c r="H12" s="254"/>
      <x:c r="I12" s="254"/>
      <x:c r="J12" s="254"/>
      <x:c r="K12" s="254"/>
    </x:row>
    <x:row r="13">
      <x:c r="A13" s="266" t="str">
        <x:v>GNPA (%)</x:v>
      </x:c>
      <x:c r="B13" s="220" t="n">
        <x:f>'Operating'!B11</x:f>
        <x:v>0.0128</x:v>
      </x:c>
      <x:c r="C13" s="220" t="n">
        <x:f>'Operating'!C11</x:f>
        <x:v>0.0117</x:v>
      </x:c>
      <x:c r="D13" s="220" t="n">
        <x:f>'Operating'!D11</x:f>
        <x:v>0.0138</x:v>
      </x:c>
      <x:c r="E13" s="220" t="n">
        <x:f>'Operating'!E11</x:f>
        <x:v>0.0118</x:v>
      </x:c>
      <x:c r="F13" s="220" t="n">
        <x:f>'Operating'!F11</x:f>
        <x:v>0.0152</x:v>
      </x:c>
      <x:c r="G13" s="213" t="n">
        <x:f>MEDIAN(B13:F13)</x:f>
        <x:v>0.0128</x:v>
      </x:c>
      <x:c r="H13" s="254"/>
      <x:c r="I13" s="254"/>
      <x:c r="J13" s="254"/>
      <x:c r="K13" s="254"/>
    </x:row>
    <x:row r="14">
      <x:c r="A14" s="266" t="str">
        <x:v>NNPA (%)</x:v>
      </x:c>
      <x:c r="B14" s="220" t="n">
        <x:f>'Operating'!B12</x:f>
        <x:v>0.0039</x:v>
      </x:c>
      <x:c r="C14" s="220" t="n">
        <x:f>'Operating'!C12</x:f>
        <x:v>0.0041</x:v>
      </x:c>
      <x:c r="D14" s="220" t="n">
        <x:f>'Operating'!D12</x:f>
        <x:v>0.0035</x:v>
      </x:c>
      <x:c r="E14" s="220" t="n">
        <x:f>'Operating'!E12</x:f>
        <x:v>0.0027</x:v>
      </x:c>
      <x:c r="F14" s="220" t="n">
        <x:f>'Operating'!F12</x:f>
        <x:v>0.0018</x:v>
      </x:c>
      <x:c r="G14" s="213" t="n">
        <x:f>MEDIAN(B14:F14)</x:f>
        <x:v>0.0035</x:v>
      </x:c>
      <x:c r="H14" s="254"/>
      <x:c r="I14" s="254"/>
      <x:c r="J14" s="254"/>
      <x:c r="K14" s="254"/>
    </x:row>
    <x:row r="15">
      <x:c r="A15" s="266" t="str">
        <x:v>CET1 (%)</x:v>
      </x:c>
      <x:c r="B15" s="220" t="n">
        <x:f>'Operating'!B13</x:f>
        <x:v>0.1464</x:v>
      </x:c>
      <x:c r="C15" s="220" t="n">
        <x:f>'Operating'!C13</x:f>
        <x:v>0.174</x:v>
      </x:c>
      <x:c r="D15" s="220" t="n">
        <x:f>'Operating'!D13</x:f>
        <x:v>0.1619</x:v>
      </x:c>
      <x:c r="E15" s="220" t="n">
        <x:f>'Operating'!E13</x:f>
        <x:v>0.224</x:v>
      </x:c>
      <x:c r="F15" s="220" t="n">
        <x:f>'Operating'!F13</x:f>
        <x:v>0.1589</x:v>
      </x:c>
      <x:c r="G15" s="213" t="n">
        <x:f>MEDIAN(B15:F15)</x:f>
        <x:v>0.1619</x:v>
      </x:c>
      <x:c r="H15" s="254"/>
      <x:c r="I15" s="254"/>
      <x:c r="J15" s="254"/>
      <x:c r="K15" s="254"/>
    </x:row>
    <x:row r="16">
      <x:c r="A16" s="266" t="str">
        <x:v>CASA (%)</x:v>
      </x:c>
      <x:c r="B16" s="220" t="n">
        <x:f>'Operating'!B14</x:f>
        <x:v>0.38</x:v>
      </x:c>
      <x:c r="C16" s="220" t="n">
        <x:f>'Operating'!C14</x:f>
        <x:v>0.323</x:v>
      </x:c>
      <x:c r="D16" s="220" t="n">
        <x:f>'Operating'!D14</x:f>
        <x:v>0.395</x:v>
      </x:c>
      <x:c r="E16" s="220" t="n">
        <x:f>'Operating'!E14</x:f>
        <x:v>0.403</x:v>
      </x:c>
      <x:c r="F16" s="220" t="n">
        <x:f>'Operating'!F14</x:f>
        <x:v>0.3223</x:v>
      </x:c>
      <x:c r="G16" s="213" t="n">
        <x:f>MEDIAN(B16:F16)</x:f>
        <x:v>0.38</x:v>
      </x:c>
      <x:c r="H16" s="254"/>
      <x:c r="I16" s="254"/>
      <x:c r="J16" s="254"/>
      <x:c r="K16" s="254"/>
    </x:row>
    <x:row r="17">
      <x:c r="A17" s="254"/>
      <x:c r="B17" s="254"/>
      <x:c r="C17" s="254"/>
      <x:c r="D17" s="254"/>
      <x:c r="E17" s="254"/>
      <x:c r="F17" s="254"/>
      <x:c r="G17" s="254"/>
      <x:c r="H17" s="254"/>
      <x:c r="I17" s="254"/>
      <x:c r="J17" s="254"/>
      <x:c r="K17" s="254"/>
    </x:row>
    <x:row r="18">
      <x:c r="A18" s="267" t="str">
        <x:v>Primary focus: valuation is anchored to P/TBV and P/B, with TBVPS explicitly calculated after removing goodwill and other intangible assets. Operating metrics explain the valuation dispersion; P/E is a secondary cross-check.</x:v>
      </x:c>
      <x:c r="B18" s="267"/>
      <x:c r="C18" s="267"/>
      <x:c r="D18" s="267"/>
      <x:c r="E18" s="267"/>
      <x:c r="F18" s="267"/>
      <x:c r="G18" s="267"/>
      <x:c r="H18" s="254"/>
      <x:c r="I18" s="254"/>
      <x:c r="J18" s="254"/>
      <x:c r="K18" s="254"/>
    </x:row>
    <x:row r="19">
      <x:c r="A19" s="267"/>
      <x:c r="B19" s="267"/>
      <x:c r="C19" s="267"/>
      <x:c r="D19" s="267"/>
      <x:c r="E19" s="267"/>
      <x:c r="F19" s="267"/>
      <x:c r="G19" s="267"/>
      <x:c r="H19" s="254"/>
      <x:c r="I19" s="254"/>
      <x:c r="J19" s="254"/>
      <x:c r="K19" s="254"/>
    </x:row>
    <x:row r="20">
      <x:c r="A20" s="267"/>
      <x:c r="B20" s="267"/>
      <x:c r="C20" s="267"/>
      <x:c r="D20" s="267"/>
      <x:c r="E20" s="267"/>
      <x:c r="F20" s="267"/>
      <x:c r="G20" s="267"/>
      <x:c r="H20" s="254"/>
      <x:c r="I20" s="254"/>
      <x:c r="J20" s="254"/>
      <x:c r="K20" s="254"/>
    </x:row>
    <x:row r="21">
      <x:c r="A21" s="254"/>
      <x:c r="B21" s="254"/>
      <x:c r="C21" s="254"/>
      <x:c r="D21" s="254"/>
      <x:c r="E21" s="254"/>
      <x:c r="F21" s="254"/>
      <x:c r="G21" s="254"/>
      <x:c r="H21" s="254"/>
      <x:c r="I21" s="254"/>
      <x:c r="J21" s="254"/>
      <x:c r="K21" s="254"/>
    </x:row>
    <x:row r="22">
      <x:c r="A22" s="254"/>
      <x:c r="B22" s="254"/>
      <x:c r="C22" s="254"/>
      <x:c r="D22" s="254"/>
      <x:c r="E22" s="254"/>
      <x:c r="F22" s="254"/>
      <x:c r="G22" s="254"/>
      <x:c r="H22" s="254"/>
      <x:c r="I22" s="254"/>
      <x:c r="J22" s="254"/>
      <x:c r="K22" s="254"/>
    </x:row>
    <x:row r="23">
      <x:c r="A23" s="254"/>
      <x:c r="B23" s="254"/>
      <x:c r="C23" s="254"/>
      <x:c r="D23" s="254"/>
      <x:c r="E23" s="254"/>
      <x:c r="F23" s="254"/>
      <x:c r="G23" s="254"/>
      <x:c r="H23" s="254"/>
      <x:c r="I23" s="254"/>
      <x:c r="J23" s="254"/>
      <x:c r="K23" s="254"/>
    </x:row>
    <x:row r="24">
      <x:c r="A24" s="254"/>
      <x:c r="B24" s="254"/>
      <x:c r="C24" s="254"/>
      <x:c r="D24" s="254"/>
      <x:c r="E24" s="254"/>
      <x:c r="F24" s="254"/>
      <x:c r="G24" s="254"/>
      <x:c r="H24" s="254"/>
      <x:c r="I24" s="254"/>
      <x:c r="J24" s="254"/>
      <x:c r="K24" s="254"/>
    </x:row>
    <x:row r="25">
      <x:c r="A25" s="254"/>
      <x:c r="B25" s="254"/>
      <x:c r="C25" s="254"/>
      <x:c r="D25" s="254"/>
      <x:c r="E25" s="254"/>
      <x:c r="F25" s="254"/>
      <x:c r="G25" s="254"/>
      <x:c r="H25" s="254"/>
      <x:c r="I25" s="254"/>
      <x:c r="J25" s="254"/>
      <x:c r="K25" s="254"/>
    </x:row>
    <x:row r="26">
      <x:c r="A26" s="254"/>
      <x:c r="B26" s="254"/>
      <x:c r="C26" s="254"/>
      <x:c r="D26" s="254"/>
      <x:c r="E26" s="254"/>
      <x:c r="F26" s="254"/>
      <x:c r="G26" s="254"/>
      <x:c r="H26" s="254"/>
      <x:c r="I26" s="254"/>
      <x:c r="J26" s="254"/>
      <x:c r="K26" s="254"/>
    </x:row>
    <x:row r="27">
      <x:c r="A27" s="254"/>
      <x:c r="B27" s="254"/>
      <x:c r="C27" s="254"/>
      <x:c r="D27" s="254"/>
      <x:c r="E27" s="254"/>
      <x:c r="F27" s="254"/>
      <x:c r="G27" s="254"/>
      <x:c r="H27" s="254"/>
      <x:c r="I27" s="254"/>
      <x:c r="J27" s="254"/>
      <x:c r="K27" s="254"/>
    </x:row>
    <x:row r="28">
      <x:c r="A28" s="254"/>
      <x:c r="B28" s="254"/>
      <x:c r="C28" s="254"/>
      <x:c r="D28" s="254"/>
      <x:c r="E28" s="254"/>
      <x:c r="F28" s="254"/>
      <x:c r="G28" s="254"/>
      <x:c r="H28" s="254"/>
      <x:c r="I28" s="254"/>
      <x:c r="J28" s="254"/>
      <x:c r="K28" s="254"/>
    </x:row>
    <x:row r="29">
      <x:c r="A29" s="254"/>
      <x:c r="B29" s="254"/>
      <x:c r="C29" s="254"/>
      <x:c r="D29" s="254"/>
      <x:c r="E29" s="254"/>
      <x:c r="F29" s="254"/>
      <x:c r="G29" s="254"/>
      <x:c r="H29" s="254"/>
      <x:c r="I29" s="254"/>
      <x:c r="J29" s="254"/>
      <x:c r="K29" s="254"/>
    </x:row>
    <x:row r="30">
      <x:c r="A30" s="254"/>
      <x:c r="B30" s="254"/>
      <x:c r="C30" s="254"/>
      <x:c r="D30" s="254"/>
      <x:c r="E30" s="254"/>
      <x:c r="F30" s="254"/>
      <x:c r="G30" s="254"/>
      <x:c r="H30" s="254"/>
      <x:c r="I30" s="254"/>
      <x:c r="J30" s="254"/>
      <x:c r="K30" s="254"/>
    </x:row>
    <x:row r="31">
      <x:c r="A31" s="254"/>
      <x:c r="B31" s="254"/>
      <x:c r="C31" s="254"/>
      <x:c r="D31" s="254"/>
      <x:c r="E31" s="254"/>
      <x:c r="F31" s="254"/>
      <x:c r="G31" s="254"/>
      <x:c r="H31" s="254"/>
      <x:c r="I31" s="254"/>
      <x:c r="J31" s="254"/>
      <x:c r="K31" s="254"/>
    </x:row>
    <x:row r="32">
      <x:c r="A32" s="254"/>
      <x:c r="B32" s="254"/>
      <x:c r="C32" s="254"/>
      <x:c r="D32" s="254"/>
      <x:c r="E32" s="254"/>
      <x:c r="F32" s="254"/>
      <x:c r="G32" s="254"/>
      <x:c r="H32" s="254"/>
      <x:c r="I32" s="254"/>
      <x:c r="J32" s="254"/>
      <x:c r="K32" s="254"/>
    </x:row>
    <x:row r="33">
      <x:c r="A33" s="254"/>
      <x:c r="B33" s="254"/>
      <x:c r="C33" s="254"/>
      <x:c r="D33" s="254"/>
      <x:c r="E33" s="254"/>
      <x:c r="F33" s="254"/>
      <x:c r="G33" s="254"/>
      <x:c r="H33" s="254"/>
      <x:c r="I33" s="254"/>
      <x:c r="J33" s="254"/>
      <x:c r="K33" s="254"/>
    </x:row>
    <x:row r="34">
      <x:c r="A34" s="254"/>
      <x:c r="B34" s="254"/>
      <x:c r="C34" s="254"/>
      <x:c r="D34" s="254"/>
      <x:c r="E34" s="254"/>
      <x:c r="F34" s="254"/>
      <x:c r="G34" s="254"/>
      <x:c r="H34" s="254"/>
      <x:c r="I34" s="254"/>
      <x:c r="J34" s="254"/>
      <x:c r="K34" s="254"/>
    </x:row>
    <x:row r="35">
      <x:c r="A35" s="254"/>
      <x:c r="B35" s="254"/>
      <x:c r="C35" s="254"/>
      <x:c r="D35" s="254"/>
      <x:c r="E35" s="254"/>
      <x:c r="F35" s="254"/>
      <x:c r="G35" s="254"/>
      <x:c r="H35" s="254"/>
      <x:c r="I35" s="254"/>
      <x:c r="J35" s="254"/>
      <x:c r="K35" s="254"/>
    </x:row>
    <x:row r="36">
      <x:c r="A36" s="254"/>
      <x:c r="B36" s="254"/>
      <x:c r="C36" s="254"/>
      <x:c r="D36" s="254"/>
      <x:c r="E36" s="254"/>
      <x:c r="F36" s="254"/>
      <x:c r="G36" s="254"/>
      <x:c r="H36" s="254"/>
      <x:c r="I36" s="254"/>
      <x:c r="J36" s="254"/>
      <x:c r="K36" s="254"/>
    </x:row>
    <x:row r="37">
      <x:c r="A37" s="254"/>
      <x:c r="B37" s="254"/>
      <x:c r="C37" s="254"/>
      <x:c r="D37" s="254"/>
      <x:c r="E37" s="254"/>
      <x:c r="F37" s="254"/>
      <x:c r="G37" s="254"/>
      <x:c r="H37" s="254"/>
      <x:c r="I37" s="254"/>
      <x:c r="J37" s="254"/>
      <x:c r="K37" s="254"/>
    </x:row>
    <x:row r="38">
      <x:c r="A38" s="254"/>
      <x:c r="B38" s="254"/>
      <x:c r="C38" s="254"/>
      <x:c r="D38" s="254"/>
      <x:c r="E38" s="254"/>
      <x:c r="F38" s="254"/>
      <x:c r="G38" s="254"/>
      <x:c r="H38" s="254"/>
      <x:c r="I38" s="254"/>
      <x:c r="J38" s="254"/>
      <x:c r="K38" s="254"/>
    </x:row>
    <x:row r="39">
      <x:c r="A39" s="254"/>
      <x:c r="B39" s="254"/>
      <x:c r="C39" s="254"/>
      <x:c r="D39" s="254"/>
      <x:c r="E39" s="254"/>
      <x:c r="F39" s="254"/>
      <x:c r="G39" s="254"/>
      <x:c r="H39" s="254"/>
      <x:c r="I39" s="254"/>
      <x:c r="J39" s="254"/>
      <x:c r="K39" s="254"/>
    </x:row>
    <x:row r="40">
      <x:c r="A40" s="254"/>
      <x:c r="B40" s="254"/>
      <x:c r="C40" s="254"/>
      <x:c r="D40" s="254"/>
      <x:c r="E40" s="254"/>
      <x:c r="F40" s="254"/>
      <x:c r="G40" s="254"/>
      <x:c r="H40" s="254"/>
      <x:c r="I40" s="254"/>
      <x:c r="J40" s="254"/>
      <x:c r="K40" s="254"/>
    </x:row>
    <x:row r="41">
      <x:c r="A41" s="254"/>
      <x:c r="B41" s="254"/>
      <x:c r="C41" s="254"/>
      <x:c r="D41" s="254"/>
      <x:c r="E41" s="254"/>
      <x:c r="F41" s="254"/>
      <x:c r="G41" s="254"/>
      <x:c r="H41" s="254"/>
      <x:c r="I41" s="254"/>
      <x:c r="J41" s="254"/>
      <x:c r="K41" s="254"/>
    </x:row>
    <x:row r="42">
      <x:c r="A42" s="254"/>
      <x:c r="B42" s="254"/>
      <x:c r="C42" s="254"/>
      <x:c r="D42" s="254"/>
      <x:c r="E42" s="254"/>
      <x:c r="F42" s="254"/>
      <x:c r="G42" s="254"/>
      <x:c r="H42" s="254"/>
      <x:c r="I42" s="254"/>
      <x:c r="J42" s="254"/>
      <x:c r="K42" s="254"/>
    </x:row>
    <x:row r="43">
      <x:c r="A43" s="254"/>
      <x:c r="B43" s="254"/>
      <x:c r="C43" s="254"/>
      <x:c r="D43" s="254"/>
      <x:c r="E43" s="254"/>
      <x:c r="F43" s="254"/>
      <x:c r="G43" s="254"/>
      <x:c r="H43" s="254"/>
      <x:c r="I43" s="254"/>
      <x:c r="J43" s="254"/>
      <x:c r="K43" s="254"/>
    </x:row>
    <x:row r="44">
      <x:c r="A44" s="254"/>
      <x:c r="B44" s="254"/>
      <x:c r="C44" s="254"/>
      <x:c r="D44" s="254"/>
      <x:c r="E44" s="254"/>
      <x:c r="F44" s="254"/>
      <x:c r="G44" s="254"/>
      <x:c r="H44" s="254"/>
      <x:c r="I44" s="254"/>
      <x:c r="J44" s="254"/>
      <x:c r="K44" s="254"/>
    </x:row>
    <x:row r="45">
      <x:c r="A45" s="254"/>
      <x:c r="B45" s="254"/>
      <x:c r="C45" s="254"/>
      <x:c r="D45" s="254"/>
      <x:c r="E45" s="254"/>
      <x:c r="F45" s="254"/>
      <x:c r="G45" s="254"/>
      <x:c r="H45" s="254"/>
      <x:c r="I45" s="254"/>
      <x:c r="J45" s="254"/>
      <x:c r="K45" s="254"/>
    </x:row>
    <x:row r="46">
      <x:c r="A46" s="254"/>
      <x:c r="B46" s="254"/>
      <x:c r="C46" s="254"/>
      <x:c r="D46" s="254"/>
      <x:c r="E46" s="254"/>
      <x:c r="F46" s="254"/>
      <x:c r="G46" s="254"/>
      <x:c r="H46" s="254"/>
      <x:c r="I46" s="254"/>
      <x:c r="J46" s="254"/>
      <x:c r="K46" s="254"/>
    </x:row>
    <x:row r="47">
      <x:c r="A47" s="254"/>
      <x:c r="B47" s="254"/>
      <x:c r="C47" s="254"/>
      <x:c r="D47" s="254"/>
      <x:c r="E47" s="254"/>
      <x:c r="F47" s="254"/>
      <x:c r="G47" s="254"/>
      <x:c r="H47" s="254"/>
      <x:c r="I47" s="254"/>
      <x:c r="J47" s="254"/>
      <x:c r="K47" s="254"/>
    </x:row>
    <x:row r="48">
      <x:c r="A48" s="254"/>
      <x:c r="B48" s="254"/>
      <x:c r="C48" s="254"/>
      <x:c r="D48" s="254"/>
      <x:c r="E48" s="254"/>
      <x:c r="F48" s="254"/>
      <x:c r="G48" s="254"/>
      <x:c r="H48" s="254"/>
      <x:c r="I48" s="254"/>
      <x:c r="J48" s="254"/>
      <x:c r="K48" s="254"/>
    </x:row>
    <x:row r="49">
      <x:c r="A49" s="254"/>
      <x:c r="B49" s="254"/>
      <x:c r="C49" s="254"/>
      <x:c r="D49" s="254"/>
      <x:c r="E49" s="254"/>
      <x:c r="F49" s="254"/>
      <x:c r="G49" s="254"/>
      <x:c r="H49" s="254"/>
      <x:c r="I49" s="254"/>
      <x:c r="J49" s="254"/>
      <x:c r="K49" s="254"/>
    </x:row>
    <x:row r="50">
      <x:c r="A50" s="254"/>
      <x:c r="B50" s="254"/>
      <x:c r="C50" s="254"/>
      <x:c r="D50" s="254"/>
      <x:c r="E50" s="254"/>
      <x:c r="F50" s="254"/>
      <x:c r="G50" s="254"/>
      <x:c r="H50" s="254"/>
      <x:c r="I50" s="254"/>
      <x:c r="J50" s="254"/>
      <x:c r="K50" s="254"/>
    </x:row>
    <x:row r="51">
      <x:c r="A51" s="254"/>
      <x:c r="B51" s="254"/>
      <x:c r="C51" s="254"/>
      <x:c r="D51" s="254"/>
      <x:c r="E51" s="254"/>
      <x:c r="F51" s="254"/>
      <x:c r="G51" s="254"/>
      <x:c r="H51" s="254"/>
      <x:c r="I51" s="254"/>
      <x:c r="J51" s="254"/>
      <x:c r="K51" s="254"/>
    </x:row>
    <x:row r="52">
      <x:c r="A52" s="254"/>
      <x:c r="B52" s="254"/>
      <x:c r="C52" s="254"/>
      <x:c r="D52" s="254"/>
      <x:c r="E52" s="254"/>
      <x:c r="F52" s="254"/>
      <x:c r="G52" s="254"/>
      <x:c r="H52" s="254"/>
      <x:c r="I52" s="254"/>
      <x:c r="J52" s="254"/>
      <x:c r="K52" s="254"/>
    </x:row>
    <x:row r="53">
      <x:c r="A53" s="254"/>
      <x:c r="B53" s="254"/>
      <x:c r="C53" s="254"/>
      <x:c r="D53" s="254"/>
      <x:c r="E53" s="254"/>
      <x:c r="F53" s="254"/>
      <x:c r="G53" s="254"/>
      <x:c r="H53" s="254"/>
      <x:c r="I53" s="254"/>
      <x:c r="J53" s="254"/>
      <x:c r="K53" s="254"/>
    </x:row>
    <x:row r="54">
      <x:c r="A54" s="254"/>
      <x:c r="B54" s="254"/>
      <x:c r="C54" s="254"/>
      <x:c r="D54" s="254"/>
      <x:c r="E54" s="254"/>
      <x:c r="F54" s="254"/>
      <x:c r="G54" s="254"/>
      <x:c r="H54" s="254"/>
      <x:c r="I54" s="254"/>
      <x:c r="J54" s="254"/>
      <x:c r="K54" s="254"/>
    </x:row>
    <x:row r="55">
      <x:c r="A55" s="254"/>
      <x:c r="B55" s="254"/>
      <x:c r="C55" s="254"/>
      <x:c r="D55" s="254"/>
      <x:c r="E55" s="254"/>
      <x:c r="F55" s="254"/>
      <x:c r="G55" s="254"/>
      <x:c r="H55" s="254"/>
      <x:c r="I55" s="254"/>
      <x:c r="J55" s="254"/>
      <x:c r="K55" s="254"/>
    </x:row>
    <x:row r="56">
      <x:c r="A56" s="254"/>
      <x:c r="B56" s="254"/>
      <x:c r="C56" s="254"/>
      <x:c r="D56" s="254"/>
      <x:c r="E56" s="254"/>
      <x:c r="F56" s="254"/>
      <x:c r="G56" s="254"/>
      <x:c r="H56" s="254"/>
      <x:c r="I56" s="254"/>
      <x:c r="J56" s="254"/>
      <x:c r="K56" s="254"/>
    </x:row>
    <x:row r="57">
      <x:c r="A57" s="254"/>
      <x:c r="B57" s="254"/>
      <x:c r="C57" s="254"/>
      <x:c r="D57" s="254"/>
      <x:c r="E57" s="254"/>
      <x:c r="F57" s="254"/>
      <x:c r="G57" s="254"/>
      <x:c r="H57" s="254"/>
      <x:c r="I57" s="254"/>
      <x:c r="J57" s="254"/>
      <x:c r="K57" s="254"/>
    </x:row>
    <x:row r="58">
      <x:c r="A58" s="254"/>
      <x:c r="B58" s="254"/>
      <x:c r="C58" s="254"/>
      <x:c r="D58" s="254"/>
      <x:c r="E58" s="254"/>
      <x:c r="F58" s="254"/>
      <x:c r="G58" s="254"/>
      <x:c r="H58" s="254"/>
      <x:c r="I58" s="254"/>
      <x:c r="J58" s="254"/>
      <x:c r="K58" s="254"/>
    </x:row>
    <x:row r="59">
      <x:c r="A59" s="254"/>
      <x:c r="B59" s="254"/>
      <x:c r="C59" s="254"/>
      <x:c r="D59" s="254"/>
      <x:c r="E59" s="254"/>
      <x:c r="F59" s="254"/>
      <x:c r="G59" s="254"/>
      <x:c r="H59" s="254"/>
      <x:c r="I59" s="254"/>
      <x:c r="J59" s="254"/>
      <x:c r="K59" s="254"/>
    </x:row>
    <x:row r="60">
      <x:c r="A60" s="254"/>
      <x:c r="B60" s="254"/>
      <x:c r="C60" s="254"/>
      <x:c r="D60" s="254"/>
      <x:c r="E60" s="254"/>
      <x:c r="F60" s="254"/>
      <x:c r="G60" s="254"/>
      <x:c r="H60" s="254"/>
      <x:c r="I60" s="254"/>
      <x:c r="J60" s="254"/>
      <x:c r="K60" s="254"/>
    </x:row>
    <x:row r="61">
      <x:c r="A61" s="254"/>
      <x:c r="B61" s="254"/>
      <x:c r="C61" s="254"/>
      <x:c r="D61" s="254"/>
      <x:c r="E61" s="254"/>
      <x:c r="F61" s="254"/>
      <x:c r="G61" s="254"/>
      <x:c r="H61" s="254"/>
      <x:c r="I61" s="254"/>
      <x:c r="J61" s="254"/>
      <x:c r="K61" s="254"/>
    </x:row>
    <x:row r="62">
      <x:c r="A62" s="254"/>
      <x:c r="B62" s="254"/>
      <x:c r="C62" s="254"/>
      <x:c r="D62" s="254"/>
      <x:c r="E62" s="254"/>
      <x:c r="F62" s="254"/>
      <x:c r="G62" s="254"/>
      <x:c r="H62" s="254"/>
      <x:c r="I62" s="254"/>
      <x:c r="J62" s="254"/>
      <x:c r="K62" s="254"/>
    </x:row>
    <x:row r="63">
      <x:c r="A63" s="254"/>
      <x:c r="B63" s="254"/>
      <x:c r="C63" s="254"/>
      <x:c r="D63" s="254"/>
      <x:c r="E63" s="254"/>
      <x:c r="F63" s="254"/>
      <x:c r="G63" s="254"/>
      <x:c r="H63" s="254"/>
      <x:c r="I63" s="254"/>
      <x:c r="J63" s="254"/>
      <x:c r="K63" s="254"/>
    </x:row>
    <x:row r="64">
      <x:c r="A64" s="254"/>
      <x:c r="B64" s="254"/>
      <x:c r="C64" s="254"/>
      <x:c r="D64" s="254"/>
      <x:c r="E64" s="254"/>
      <x:c r="F64" s="254"/>
      <x:c r="G64" s="254"/>
      <x:c r="H64" s="254"/>
      <x:c r="I64" s="254"/>
      <x:c r="J64" s="254"/>
      <x:c r="K64" s="254"/>
    </x:row>
    <x:row r="65">
      <x:c r="A65" s="254"/>
      <x:c r="B65" s="254"/>
      <x:c r="C65" s="254"/>
      <x:c r="D65" s="254"/>
      <x:c r="E65" s="254"/>
      <x:c r="F65" s="254"/>
      <x:c r="G65" s="254"/>
      <x:c r="H65" s="254"/>
      <x:c r="I65" s="254"/>
      <x:c r="J65" s="254"/>
      <x:c r="K65" s="254"/>
    </x:row>
    <x:row r="66">
      <x:c r="A66" s="254"/>
      <x:c r="B66" s="254"/>
      <x:c r="C66" s="254"/>
      <x:c r="D66" s="254"/>
      <x:c r="E66" s="254"/>
      <x:c r="F66" s="254"/>
      <x:c r="G66" s="254"/>
      <x:c r="H66" s="254"/>
      <x:c r="I66" s="254"/>
      <x:c r="J66" s="254"/>
      <x:c r="K66" s="254"/>
    </x:row>
    <x:row r="67">
      <x:c r="A67" s="254"/>
      <x:c r="B67" s="254"/>
      <x:c r="C67" s="254"/>
      <x:c r="D67" s="254"/>
      <x:c r="E67" s="254"/>
      <x:c r="F67" s="254"/>
      <x:c r="G67" s="254"/>
      <x:c r="H67" s="254"/>
      <x:c r="I67" s="254"/>
      <x:c r="J67" s="254"/>
      <x:c r="K67" s="254"/>
    </x:row>
    <x:row r="68">
      <x:c r="A68" s="254"/>
      <x:c r="B68" s="254"/>
      <x:c r="C68" s="254"/>
      <x:c r="D68" s="254"/>
      <x:c r="E68" s="254"/>
      <x:c r="F68" s="254"/>
      <x:c r="G68" s="254"/>
      <x:c r="H68" s="254"/>
      <x:c r="I68" s="254"/>
      <x:c r="J68" s="254"/>
      <x:c r="K68" s="254"/>
    </x:row>
    <x:row r="69">
      <x:c r="A69" s="254"/>
      <x:c r="B69" s="254"/>
      <x:c r="C69" s="254"/>
      <x:c r="D69" s="254"/>
      <x:c r="E69" s="254"/>
      <x:c r="F69" s="254"/>
      <x:c r="G69" s="254"/>
      <x:c r="H69" s="254"/>
      <x:c r="I69" s="254"/>
      <x:c r="J69" s="254"/>
      <x:c r="K69" s="254"/>
    </x:row>
    <x:row r="70">
      <x:c r="A70" s="254"/>
      <x:c r="B70" s="254"/>
      <x:c r="C70" s="254"/>
      <x:c r="D70" s="254"/>
      <x:c r="E70" s="254"/>
      <x:c r="F70" s="254"/>
      <x:c r="G70" s="254"/>
      <x:c r="H70" s="254"/>
      <x:c r="I70" s="254"/>
      <x:c r="J70" s="254"/>
      <x:c r="K70" s="254"/>
    </x:row>
    <x:row r="71">
      <x:c r="A71" s="254"/>
      <x:c r="B71" s="254"/>
      <x:c r="C71" s="254"/>
      <x:c r="D71" s="254"/>
      <x:c r="E71" s="254"/>
      <x:c r="F71" s="254"/>
      <x:c r="G71" s="254"/>
      <x:c r="H71" s="254"/>
      <x:c r="I71" s="254"/>
      <x:c r="J71" s="254"/>
      <x:c r="K71" s="254"/>
    </x:row>
    <x:row r="72">
      <x:c r="A72" s="254"/>
      <x:c r="B72" s="254"/>
      <x:c r="C72" s="254"/>
      <x:c r="D72" s="254"/>
      <x:c r="E72" s="254"/>
      <x:c r="F72" s="254"/>
      <x:c r="G72" s="254"/>
      <x:c r="H72" s="254"/>
      <x:c r="I72" s="254"/>
      <x:c r="J72" s="254"/>
      <x:c r="K72" s="254"/>
    </x:row>
    <x:row r="73">
      <x:c r="A73" s="254"/>
      <x:c r="B73" s="254"/>
      <x:c r="C73" s="254"/>
      <x:c r="D73" s="254"/>
      <x:c r="E73" s="254"/>
      <x:c r="F73" s="254"/>
      <x:c r="G73" s="254"/>
      <x:c r="H73" s="254"/>
      <x:c r="I73" s="254"/>
      <x:c r="J73" s="254"/>
      <x:c r="K73" s="254"/>
    </x:row>
    <x:row r="74">
      <x:c r="A74" s="254"/>
      <x:c r="B74" s="254"/>
      <x:c r="C74" s="254"/>
      <x:c r="D74" s="254"/>
      <x:c r="E74" s="254"/>
      <x:c r="F74" s="254"/>
      <x:c r="G74" s="254"/>
      <x:c r="H74" s="254"/>
      <x:c r="I74" s="254"/>
      <x:c r="J74" s="254"/>
      <x:c r="K74" s="254"/>
    </x:row>
    <x:row r="75">
      <x:c r="A75" s="254"/>
      <x:c r="B75" s="254"/>
      <x:c r="C75" s="254"/>
      <x:c r="D75" s="254"/>
      <x:c r="E75" s="254"/>
      <x:c r="F75" s="254"/>
      <x:c r="G75" s="254"/>
      <x:c r="H75" s="254"/>
      <x:c r="I75" s="254"/>
      <x:c r="J75" s="254"/>
      <x:c r="K75" s="254"/>
    </x:row>
    <x:row r="76">
      <x:c r="A76" s="254"/>
      <x:c r="B76" s="254"/>
      <x:c r="C76" s="254"/>
      <x:c r="D76" s="254"/>
      <x:c r="E76" s="254"/>
      <x:c r="F76" s="254"/>
      <x:c r="G76" s="254"/>
      <x:c r="H76" s="254"/>
      <x:c r="I76" s="254"/>
      <x:c r="J76" s="254"/>
      <x:c r="K76" s="254"/>
    </x:row>
    <x:row r="77">
      <x:c r="A77" s="254"/>
      <x:c r="B77" s="254"/>
      <x:c r="C77" s="254"/>
      <x:c r="D77" s="254"/>
      <x:c r="E77" s="254"/>
      <x:c r="F77" s="254"/>
      <x:c r="G77" s="254"/>
      <x:c r="H77" s="254"/>
      <x:c r="I77" s="254"/>
      <x:c r="J77" s="254"/>
      <x:c r="K77" s="254"/>
    </x:row>
    <x:row r="78">
      <x:c r="A78" s="254"/>
      <x:c r="B78" s="254"/>
      <x:c r="C78" s="254"/>
      <x:c r="D78" s="254"/>
      <x:c r="E78" s="254"/>
      <x:c r="F78" s="254"/>
      <x:c r="G78" s="254"/>
      <x:c r="H78" s="254"/>
      <x:c r="I78" s="254"/>
      <x:c r="J78" s="254"/>
      <x:c r="K78" s="254"/>
    </x:row>
    <x:row r="79">
      <x:c r="A79" s="254"/>
      <x:c r="B79" s="254"/>
      <x:c r="C79" s="254"/>
      <x:c r="D79" s="254"/>
      <x:c r="E79" s="254"/>
      <x:c r="F79" s="254"/>
      <x:c r="G79" s="254"/>
      <x:c r="H79" s="254"/>
      <x:c r="I79" s="254"/>
      <x:c r="J79" s="254"/>
      <x:c r="K79" s="254"/>
    </x:row>
    <x:row r="80">
      <x:c r="A80" s="254"/>
      <x:c r="B80" s="254"/>
      <x:c r="C80" s="254"/>
      <x:c r="D80" s="254"/>
      <x:c r="E80" s="254"/>
      <x:c r="F80" s="254"/>
      <x:c r="G80" s="254"/>
      <x:c r="H80" s="254"/>
      <x:c r="I80" s="254"/>
      <x:c r="J80" s="254"/>
      <x:c r="K80" s="254"/>
    </x:row>
    <x:row r="81">
      <x:c r="A81" s="254"/>
      <x:c r="B81" s="254"/>
      <x:c r="C81" s="254"/>
      <x:c r="D81" s="254"/>
      <x:c r="E81" s="254"/>
      <x:c r="F81" s="254"/>
      <x:c r="G81" s="254"/>
      <x:c r="H81" s="254"/>
      <x:c r="I81" s="254"/>
      <x:c r="J81" s="254"/>
      <x:c r="K81" s="254"/>
    </x:row>
    <x:row r="82">
      <x:c r="A82" s="254"/>
      <x:c r="B82" s="254"/>
      <x:c r="C82" s="254"/>
      <x:c r="D82" s="254"/>
      <x:c r="E82" s="254"/>
      <x:c r="F82" s="254"/>
      <x:c r="G82" s="254"/>
      <x:c r="H82" s="254"/>
      <x:c r="I82" s="254"/>
      <x:c r="J82" s="254"/>
      <x:c r="K82" s="254"/>
    </x:row>
    <x:row r="83">
      <x:c r="A83" s="254"/>
      <x:c r="B83" s="254"/>
      <x:c r="C83" s="254"/>
      <x:c r="D83" s="254"/>
      <x:c r="E83" s="254"/>
      <x:c r="F83" s="254"/>
      <x:c r="G83" s="254"/>
      <x:c r="H83" s="254"/>
      <x:c r="I83" s="254"/>
      <x:c r="J83" s="254"/>
      <x:c r="K83" s="254"/>
    </x:row>
    <x:row r="84">
      <x:c r="A84" s="254"/>
      <x:c r="B84" s="254"/>
      <x:c r="C84" s="254"/>
      <x:c r="D84" s="254"/>
      <x:c r="E84" s="254"/>
      <x:c r="F84" s="254"/>
      <x:c r="G84" s="254"/>
      <x:c r="H84" s="254"/>
      <x:c r="I84" s="254"/>
      <x:c r="J84" s="254"/>
      <x:c r="K84" s="254"/>
    </x:row>
    <x:row r="85">
      <x:c r="A85" s="254"/>
      <x:c r="B85" s="254"/>
      <x:c r="C85" s="254"/>
      <x:c r="D85" s="254"/>
      <x:c r="E85" s="254"/>
      <x:c r="F85" s="254"/>
      <x:c r="G85" s="254"/>
      <x:c r="H85" s="254"/>
      <x:c r="I85" s="254"/>
      <x:c r="J85" s="254"/>
      <x:c r="K85" s="254"/>
    </x:row>
    <x:row r="86">
      <x:c r="A86" s="254"/>
      <x:c r="B86" s="254"/>
      <x:c r="C86" s="254"/>
      <x:c r="D86" s="254"/>
      <x:c r="E86" s="254"/>
      <x:c r="F86" s="254"/>
      <x:c r="G86" s="254"/>
      <x:c r="H86" s="254"/>
      <x:c r="I86" s="254"/>
      <x:c r="J86" s="254"/>
      <x:c r="K86" s="254"/>
    </x:row>
    <x:row r="87">
      <x:c r="A87" s="254"/>
      <x:c r="B87" s="254"/>
      <x:c r="C87" s="254"/>
      <x:c r="D87" s="254"/>
      <x:c r="E87" s="254"/>
      <x:c r="F87" s="254"/>
      <x:c r="G87" s="254"/>
      <x:c r="H87" s="254"/>
      <x:c r="I87" s="254"/>
      <x:c r="J87" s="254"/>
      <x:c r="K87" s="254"/>
    </x:row>
    <x:row r="88">
      <x:c r="A88" s="254"/>
      <x:c r="B88" s="254"/>
      <x:c r="C88" s="254"/>
      <x:c r="D88" s="254"/>
      <x:c r="E88" s="254"/>
      <x:c r="F88" s="254"/>
      <x:c r="G88" s="254"/>
      <x:c r="H88" s="254"/>
      <x:c r="I88" s="254"/>
      <x:c r="J88" s="254"/>
      <x:c r="K88" s="254"/>
    </x:row>
    <x:row r="89">
      <x:c r="A89" s="254"/>
      <x:c r="B89" s="254"/>
      <x:c r="C89" s="254"/>
      <x:c r="D89" s="254"/>
      <x:c r="E89" s="254"/>
      <x:c r="F89" s="254"/>
      <x:c r="G89" s="254"/>
      <x:c r="H89" s="254"/>
      <x:c r="I89" s="254"/>
      <x:c r="J89" s="254"/>
      <x:c r="K89" s="254"/>
    </x:row>
    <x:row r="90">
      <x:c r="A90" s="254"/>
      <x:c r="B90" s="254"/>
      <x:c r="C90" s="254"/>
      <x:c r="D90" s="254"/>
      <x:c r="E90" s="254"/>
      <x:c r="F90" s="254"/>
      <x:c r="G90" s="254"/>
      <x:c r="H90" s="254"/>
      <x:c r="I90" s="254"/>
      <x:c r="J90" s="254"/>
      <x:c r="K90" s="254"/>
    </x:row>
    <x:row r="91">
      <x:c r="A91" s="254"/>
      <x:c r="B91" s="254"/>
      <x:c r="C91" s="254"/>
      <x:c r="D91" s="254"/>
      <x:c r="E91" s="254"/>
      <x:c r="F91" s="254"/>
      <x:c r="G91" s="254"/>
      <x:c r="H91" s="254"/>
      <x:c r="I91" s="254"/>
      <x:c r="J91" s="254"/>
      <x:c r="K91" s="254"/>
    </x:row>
    <x:row r="92">
      <x:c r="A92" s="254"/>
      <x:c r="B92" s="254"/>
      <x:c r="C92" s="254"/>
      <x:c r="D92" s="254"/>
      <x:c r="E92" s="254"/>
      <x:c r="F92" s="254"/>
      <x:c r="G92" s="254"/>
      <x:c r="H92" s="254"/>
      <x:c r="I92" s="254"/>
      <x:c r="J92" s="254"/>
      <x:c r="K92" s="254"/>
    </x:row>
    <x:row r="93">
      <x:c r="A93" s="254"/>
      <x:c r="B93" s="254"/>
      <x:c r="C93" s="254"/>
      <x:c r="D93" s="254"/>
      <x:c r="E93" s="254"/>
      <x:c r="F93" s="254"/>
      <x:c r="G93" s="254"/>
      <x:c r="H93" s="254"/>
      <x:c r="I93" s="254"/>
      <x:c r="J93" s="254"/>
      <x:c r="K93" s="254"/>
    </x:row>
    <x:row r="94">
      <x:c r="A94" s="254"/>
      <x:c r="B94" s="254"/>
      <x:c r="C94" s="254"/>
      <x:c r="D94" s="254"/>
      <x:c r="E94" s="254"/>
      <x:c r="F94" s="254"/>
      <x:c r="G94" s="254"/>
      <x:c r="H94" s="254"/>
      <x:c r="I94" s="254"/>
      <x:c r="J94" s="254"/>
      <x:c r="K94" s="254"/>
    </x:row>
    <x:row r="95">
      <x:c r="A95" s="254"/>
      <x:c r="B95" s="254"/>
      <x:c r="C95" s="254"/>
      <x:c r="D95" s="254"/>
      <x:c r="E95" s="254"/>
      <x:c r="F95" s="254"/>
      <x:c r="G95" s="254"/>
      <x:c r="H95" s="254"/>
      <x:c r="I95" s="254"/>
      <x:c r="J95" s="254"/>
      <x:c r="K95" s="254"/>
    </x:row>
    <x:row r="96">
      <x:c r="A96" s="254"/>
      <x:c r="B96" s="254"/>
      <x:c r="C96" s="254"/>
      <x:c r="D96" s="254"/>
      <x:c r="E96" s="254"/>
      <x:c r="F96" s="254"/>
      <x:c r="G96" s="254"/>
      <x:c r="H96" s="254"/>
      <x:c r="I96" s="254"/>
      <x:c r="J96" s="254"/>
      <x:c r="K96" s="254"/>
    </x:row>
    <x:row r="97">
      <x:c r="A97" s="254"/>
      <x:c r="B97" s="254"/>
      <x:c r="C97" s="254"/>
      <x:c r="D97" s="254"/>
      <x:c r="E97" s="254"/>
      <x:c r="F97" s="254"/>
      <x:c r="G97" s="254"/>
      <x:c r="H97" s="254"/>
      <x:c r="I97" s="254"/>
      <x:c r="J97" s="254"/>
      <x:c r="K97" s="254"/>
    </x:row>
    <x:row r="98">
      <x:c r="A98" s="254"/>
      <x:c r="B98" s="254"/>
      <x:c r="C98" s="254"/>
      <x:c r="D98" s="254"/>
      <x:c r="E98" s="254"/>
      <x:c r="F98" s="254"/>
      <x:c r="G98" s="254"/>
      <x:c r="H98" s="254"/>
      <x:c r="I98" s="254"/>
      <x:c r="J98" s="254"/>
      <x:c r="K98" s="254"/>
    </x:row>
    <x:row r="99">
      <x:c r="A99" s="254"/>
      <x:c r="B99" s="254"/>
      <x:c r="C99" s="254"/>
      <x:c r="D99" s="254"/>
      <x:c r="E99" s="254"/>
      <x:c r="F99" s="254"/>
      <x:c r="G99" s="254"/>
      <x:c r="H99" s="254"/>
      <x:c r="I99" s="254"/>
      <x:c r="J99" s="254"/>
      <x:c r="K99" s="254"/>
    </x:row>
    <x:row r="100">
      <x:c r="A100" s="254"/>
      <x:c r="B100" s="254"/>
      <x:c r="C100" s="254"/>
      <x:c r="D100" s="254"/>
      <x:c r="E100" s="254"/>
      <x:c r="F100" s="254"/>
      <x:c r="G100" s="254"/>
      <x:c r="H100" s="254"/>
      <x:c r="I100" s="254"/>
      <x:c r="J100" s="254"/>
      <x:c r="K100" s="254"/>
    </x:row>
    <x:row r="101">
      <x:c r="A101" s="254"/>
      <x:c r="B101" s="254"/>
      <x:c r="C101" s="254"/>
      <x:c r="D101" s="254"/>
      <x:c r="E101" s="254"/>
      <x:c r="F101" s="254"/>
      <x:c r="G101" s="254"/>
      <x:c r="H101" s="254"/>
      <x:c r="I101" s="254"/>
      <x:c r="J101" s="254"/>
      <x:c r="K101" s="254"/>
    </x:row>
    <x:row r="102">
      <x:c r="A102" s="254"/>
      <x:c r="B102" s="254"/>
      <x:c r="C102" s="254"/>
      <x:c r="D102" s="254"/>
      <x:c r="E102" s="254"/>
      <x:c r="F102" s="254"/>
      <x:c r="G102" s="254"/>
      <x:c r="H102" s="254"/>
      <x:c r="I102" s="254"/>
      <x:c r="J102" s="254"/>
      <x:c r="K102" s="254"/>
    </x:row>
    <x:row r="103">
      <x:c r="A103" s="254"/>
      <x:c r="B103" s="254"/>
      <x:c r="C103" s="254"/>
      <x:c r="D103" s="254"/>
      <x:c r="E103" s="254"/>
      <x:c r="F103" s="254"/>
      <x:c r="G103" s="254"/>
      <x:c r="H103" s="254"/>
      <x:c r="I103" s="254"/>
      <x:c r="J103" s="254"/>
      <x:c r="K103" s="254"/>
    </x:row>
    <x:row r="104">
      <x:c r="A104" s="254"/>
      <x:c r="B104" s="254"/>
      <x:c r="C104" s="254"/>
      <x:c r="D104" s="254"/>
      <x:c r="E104" s="254"/>
      <x:c r="F104" s="254"/>
      <x:c r="G104" s="254"/>
      <x:c r="H104" s="254"/>
      <x:c r="I104" s="254"/>
      <x:c r="J104" s="254"/>
      <x:c r="K104" s="254"/>
    </x:row>
    <x:row r="105">
      <x:c r="A105" s="254"/>
      <x:c r="B105" s="254"/>
      <x:c r="C105" s="254"/>
      <x:c r="D105" s="254"/>
      <x:c r="E105" s="254"/>
      <x:c r="F105" s="254"/>
      <x:c r="G105" s="254"/>
      <x:c r="H105" s="254"/>
      <x:c r="I105" s="254"/>
      <x:c r="J105" s="254"/>
      <x:c r="K105" s="254"/>
    </x:row>
    <x:row r="106">
      <x:c r="A106" s="254"/>
      <x:c r="B106" s="254"/>
      <x:c r="C106" s="254"/>
      <x:c r="D106" s="254"/>
      <x:c r="E106" s="254"/>
      <x:c r="F106" s="254"/>
      <x:c r="G106" s="254"/>
      <x:c r="H106" s="254"/>
      <x:c r="I106" s="254"/>
      <x:c r="J106" s="254"/>
      <x:c r="K106" s="254"/>
    </x:row>
    <x:row r="107">
      <x:c r="A107" s="254"/>
      <x:c r="B107" s="254"/>
      <x:c r="C107" s="254"/>
      <x:c r="D107" s="254"/>
      <x:c r="E107" s="254"/>
      <x:c r="F107" s="254"/>
      <x:c r="G107" s="254"/>
      <x:c r="H107" s="254"/>
      <x:c r="I107" s="254"/>
      <x:c r="J107" s="254"/>
      <x:c r="K107" s="254"/>
    </x:row>
    <x:row r="108">
      <x:c r="A108" s="254"/>
      <x:c r="B108" s="254"/>
      <x:c r="C108" s="254"/>
      <x:c r="D108" s="254"/>
      <x:c r="E108" s="254"/>
      <x:c r="F108" s="254"/>
      <x:c r="G108" s="254"/>
      <x:c r="H108" s="254"/>
      <x:c r="I108" s="254"/>
      <x:c r="J108" s="254"/>
      <x:c r="K108" s="254"/>
    </x:row>
    <x:row r="109">
      <x:c r="A109" s="254"/>
      <x:c r="B109" s="254"/>
      <x:c r="C109" s="254"/>
      <x:c r="D109" s="254"/>
      <x:c r="E109" s="254"/>
      <x:c r="F109" s="254"/>
      <x:c r="G109" s="254"/>
      <x:c r="H109" s="254"/>
      <x:c r="I109" s="254"/>
      <x:c r="J109" s="254"/>
      <x:c r="K109" s="254"/>
    </x:row>
    <x:row r="110">
      <x:c r="A110" s="254"/>
      <x:c r="B110" s="254"/>
      <x:c r="C110" s="254"/>
      <x:c r="D110" s="254"/>
      <x:c r="E110" s="254"/>
      <x:c r="F110" s="254"/>
      <x:c r="G110" s="254"/>
      <x:c r="H110" s="254"/>
      <x:c r="I110" s="254"/>
      <x:c r="J110" s="254"/>
      <x:c r="K110" s="254"/>
    </x:row>
    <x:row r="111">
      <x:c r="A111" s="254"/>
      <x:c r="B111" s="254"/>
      <x:c r="C111" s="254"/>
      <x:c r="D111" s="254"/>
      <x:c r="E111" s="254"/>
      <x:c r="F111" s="254"/>
      <x:c r="G111" s="254"/>
      <x:c r="H111" s="254"/>
      <x:c r="I111" s="254"/>
      <x:c r="J111" s="254"/>
      <x:c r="K111" s="254"/>
    </x:row>
    <x:row r="112">
      <x:c r="A112" s="254"/>
      <x:c r="B112" s="254"/>
      <x:c r="C112" s="254"/>
      <x:c r="D112" s="254"/>
      <x:c r="E112" s="254"/>
      <x:c r="F112" s="254"/>
      <x:c r="G112" s="254"/>
      <x:c r="H112" s="254"/>
      <x:c r="I112" s="254"/>
      <x:c r="J112" s="254"/>
      <x:c r="K112" s="254"/>
    </x:row>
    <x:row r="113">
      <x:c r="A113" s="254"/>
      <x:c r="B113" s="254"/>
      <x:c r="C113" s="254"/>
      <x:c r="D113" s="254"/>
      <x:c r="E113" s="254"/>
      <x:c r="F113" s="254"/>
      <x:c r="G113" s="254"/>
      <x:c r="H113" s="254"/>
      <x:c r="I113" s="254"/>
      <x:c r="J113" s="254"/>
      <x:c r="K113" s="254"/>
    </x:row>
    <x:row r="114">
      <x:c r="A114" s="254"/>
      <x:c r="B114" s="254"/>
      <x:c r="C114" s="254"/>
      <x:c r="D114" s="254"/>
      <x:c r="E114" s="254"/>
      <x:c r="F114" s="254"/>
      <x:c r="G114" s="254"/>
      <x:c r="H114" s="254"/>
      <x:c r="I114" s="254"/>
      <x:c r="J114" s="254"/>
      <x:c r="K114" s="254"/>
    </x:row>
    <x:row r="115">
      <x:c r="A115" s="254"/>
      <x:c r="B115" s="254"/>
      <x:c r="C115" s="254"/>
      <x:c r="D115" s="254"/>
      <x:c r="E115" s="254"/>
      <x:c r="F115" s="254"/>
      <x:c r="G115" s="254"/>
      <x:c r="H115" s="254"/>
      <x:c r="I115" s="254"/>
      <x:c r="J115" s="254"/>
      <x:c r="K115" s="254"/>
    </x:row>
    <x:row r="116">
      <x:c r="A116" s="254"/>
      <x:c r="B116" s="254"/>
      <x:c r="C116" s="254"/>
      <x:c r="D116" s="254"/>
      <x:c r="E116" s="254"/>
      <x:c r="F116" s="254"/>
      <x:c r="G116" s="254"/>
      <x:c r="H116" s="254"/>
      <x:c r="I116" s="254"/>
      <x:c r="J116" s="254"/>
      <x:c r="K116" s="254"/>
    </x:row>
    <x:row r="117">
      <x:c r="A117" s="254"/>
      <x:c r="B117" s="254"/>
      <x:c r="C117" s="254"/>
      <x:c r="D117" s="254"/>
      <x:c r="E117" s="254"/>
      <x:c r="F117" s="254"/>
      <x:c r="G117" s="254"/>
      <x:c r="H117" s="254"/>
      <x:c r="I117" s="254"/>
      <x:c r="J117" s="254"/>
      <x:c r="K117" s="254"/>
    </x:row>
    <x:row r="118">
      <x:c r="A118" s="254"/>
      <x:c r="B118" s="254"/>
      <x:c r="C118" s="254"/>
      <x:c r="D118" s="254"/>
      <x:c r="E118" s="254"/>
      <x:c r="F118" s="254"/>
      <x:c r="G118" s="254"/>
      <x:c r="H118" s="254"/>
      <x:c r="I118" s="254"/>
      <x:c r="J118" s="254"/>
      <x:c r="K118" s="254"/>
    </x:row>
    <x:row r="119">
      <x:c r="A119" s="254"/>
      <x:c r="B119" s="254"/>
      <x:c r="C119" s="254"/>
      <x:c r="D119" s="254"/>
      <x:c r="E119" s="254"/>
      <x:c r="F119" s="254"/>
      <x:c r="G119" s="254"/>
      <x:c r="H119" s="254"/>
      <x:c r="I119" s="254"/>
      <x:c r="J119" s="254"/>
      <x:c r="K119" s="254"/>
    </x:row>
    <x:row r="120">
      <x:c r="A120" s="254"/>
      <x:c r="B120" s="254"/>
      <x:c r="C120" s="254"/>
      <x:c r="D120" s="254"/>
      <x:c r="E120" s="254"/>
      <x:c r="F120" s="254"/>
      <x:c r="G120" s="254"/>
      <x:c r="H120" s="254"/>
      <x:c r="I120" s="254"/>
      <x:c r="J120" s="254"/>
      <x:c r="K120" s="254"/>
    </x:row>
    <x:row r="121">
      <x:c r="A121" s="254"/>
      <x:c r="B121" s="254"/>
      <x:c r="C121" s="254"/>
      <x:c r="D121" s="254"/>
      <x:c r="E121" s="254"/>
      <x:c r="F121" s="254"/>
      <x:c r="G121" s="254"/>
      <x:c r="H121" s="254"/>
      <x:c r="I121" s="254"/>
      <x:c r="J121" s="254"/>
      <x:c r="K121" s="254"/>
    </x:row>
    <x:row r="122">
      <x:c r="A122" s="254"/>
      <x:c r="B122" s="254"/>
      <x:c r="C122" s="254"/>
      <x:c r="D122" s="254"/>
      <x:c r="E122" s="254"/>
      <x:c r="F122" s="254"/>
      <x:c r="G122" s="254"/>
      <x:c r="H122" s="254"/>
      <x:c r="I122" s="254"/>
      <x:c r="J122" s="254"/>
      <x:c r="K122" s="254"/>
    </x:row>
    <x:row r="123">
      <x:c r="A123" s="254"/>
      <x:c r="B123" s="254"/>
      <x:c r="C123" s="254"/>
      <x:c r="D123" s="254"/>
      <x:c r="E123" s="254"/>
      <x:c r="F123" s="254"/>
      <x:c r="G123" s="254"/>
      <x:c r="H123" s="254"/>
      <x:c r="I123" s="254"/>
      <x:c r="J123" s="254"/>
      <x:c r="K123" s="254"/>
    </x:row>
    <x:row r="124">
      <x:c r="A124" s="254"/>
      <x:c r="B124" s="254"/>
      <x:c r="C124" s="254"/>
      <x:c r="D124" s="254"/>
      <x:c r="E124" s="254"/>
      <x:c r="F124" s="254"/>
      <x:c r="G124" s="254"/>
      <x:c r="H124" s="254"/>
      <x:c r="I124" s="254"/>
      <x:c r="J124" s="254"/>
      <x:c r="K124" s="254"/>
    </x:row>
    <x:row r="125">
      <x:c r="A125" s="254"/>
      <x:c r="B125" s="254"/>
      <x:c r="C125" s="254"/>
      <x:c r="D125" s="254"/>
      <x:c r="E125" s="254"/>
      <x:c r="F125" s="254"/>
      <x:c r="G125" s="254"/>
      <x:c r="H125" s="254"/>
      <x:c r="I125" s="254"/>
      <x:c r="J125" s="254"/>
      <x:c r="K125" s="254"/>
    </x:row>
    <x:row r="126">
      <x:c r="A126" s="254"/>
      <x:c r="B126" s="254"/>
      <x:c r="C126" s="254"/>
      <x:c r="D126" s="254"/>
      <x:c r="E126" s="254"/>
      <x:c r="F126" s="254"/>
      <x:c r="G126" s="254"/>
      <x:c r="H126" s="254"/>
      <x:c r="I126" s="254"/>
      <x:c r="J126" s="254"/>
      <x:c r="K126" s="254"/>
    </x:row>
    <x:row r="127">
      <x:c r="A127" s="254"/>
      <x:c r="B127" s="254"/>
      <x:c r="C127" s="254"/>
      <x:c r="D127" s="254"/>
      <x:c r="E127" s="254"/>
      <x:c r="F127" s="254"/>
      <x:c r="G127" s="254"/>
      <x:c r="H127" s="254"/>
      <x:c r="I127" s="254"/>
      <x:c r="J127" s="254"/>
      <x:c r="K127" s="254"/>
    </x:row>
    <x:row r="128">
      <x:c r="A128" s="254"/>
      <x:c r="B128" s="254"/>
      <x:c r="C128" s="254"/>
      <x:c r="D128" s="254"/>
      <x:c r="E128" s="254"/>
      <x:c r="F128" s="254"/>
      <x:c r="G128" s="254"/>
      <x:c r="H128" s="254"/>
      <x:c r="I128" s="254"/>
      <x:c r="J128" s="254"/>
      <x:c r="K128" s="254"/>
    </x:row>
    <x:row r="129">
      <x:c r="A129" s="254"/>
      <x:c r="B129" s="254"/>
      <x:c r="C129" s="254"/>
      <x:c r="D129" s="254"/>
      <x:c r="E129" s="254"/>
      <x:c r="F129" s="254"/>
      <x:c r="G129" s="254"/>
      <x:c r="H129" s="254"/>
      <x:c r="I129" s="254"/>
      <x:c r="J129" s="254"/>
      <x:c r="K129" s="254"/>
    </x:row>
    <x:row r="130">
      <x:c r="A130" s="254"/>
      <x:c r="B130" s="254"/>
      <x:c r="C130" s="254"/>
      <x:c r="D130" s="254"/>
      <x:c r="E130" s="254"/>
      <x:c r="F130" s="254"/>
      <x:c r="G130" s="254"/>
      <x:c r="H130" s="254"/>
      <x:c r="I130" s="254"/>
      <x:c r="J130" s="254"/>
      <x:c r="K130" s="254"/>
    </x:row>
    <x:row r="131">
      <x:c r="A131" s="254"/>
      <x:c r="B131" s="254"/>
      <x:c r="C131" s="254"/>
      <x:c r="D131" s="254"/>
      <x:c r="E131" s="254"/>
      <x:c r="F131" s="254"/>
      <x:c r="G131" s="254"/>
      <x:c r="H131" s="254"/>
      <x:c r="I131" s="254"/>
      <x:c r="J131" s="254"/>
      <x:c r="K131" s="254"/>
    </x:row>
    <x:row r="132">
      <x:c r="A132" s="254"/>
      <x:c r="B132" s="254"/>
      <x:c r="C132" s="254"/>
      <x:c r="D132" s="254"/>
      <x:c r="E132" s="254"/>
      <x:c r="F132" s="254"/>
      <x:c r="G132" s="254"/>
      <x:c r="H132" s="254"/>
      <x:c r="I132" s="254"/>
      <x:c r="J132" s="254"/>
      <x:c r="K132" s="254"/>
    </x:row>
    <x:row r="133">
      <x:c r="A133" s="254"/>
      <x:c r="B133" s="254"/>
      <x:c r="C133" s="254"/>
      <x:c r="D133" s="254"/>
      <x:c r="E133" s="254"/>
      <x:c r="F133" s="254"/>
      <x:c r="G133" s="254"/>
      <x:c r="H133" s="254"/>
      <x:c r="I133" s="254"/>
      <x:c r="J133" s="254"/>
      <x:c r="K133" s="254"/>
    </x:row>
    <x:row r="134">
      <x:c r="A134" s="254"/>
      <x:c r="B134" s="254"/>
      <x:c r="C134" s="254"/>
      <x:c r="D134" s="254"/>
      <x:c r="E134" s="254"/>
      <x:c r="F134" s="254"/>
      <x:c r="G134" s="254"/>
      <x:c r="H134" s="254"/>
      <x:c r="I134" s="254"/>
      <x:c r="J134" s="254"/>
      <x:c r="K134" s="254"/>
    </x:row>
    <x:row r="135">
      <x:c r="A135" s="254"/>
      <x:c r="B135" s="254"/>
      <x:c r="C135" s="254"/>
      <x:c r="D135" s="254"/>
      <x:c r="E135" s="254"/>
      <x:c r="F135" s="254"/>
      <x:c r="G135" s="254"/>
      <x:c r="H135" s="254"/>
      <x:c r="I135" s="254"/>
      <x:c r="J135" s="254"/>
      <x:c r="K135" s="254"/>
    </x:row>
    <x:row r="136">
      <x:c r="A136" s="254"/>
      <x:c r="B136" s="254"/>
      <x:c r="C136" s="254"/>
      <x:c r="D136" s="254"/>
      <x:c r="E136" s="254"/>
      <x:c r="F136" s="254"/>
      <x:c r="G136" s="254"/>
      <x:c r="H136" s="254"/>
      <x:c r="I136" s="254"/>
      <x:c r="J136" s="254"/>
      <x:c r="K136" s="254"/>
    </x:row>
    <x:row r="137">
      <x:c r="A137" s="254"/>
      <x:c r="B137" s="254"/>
      <x:c r="C137" s="254"/>
      <x:c r="D137" s="254"/>
      <x:c r="E137" s="254"/>
      <x:c r="F137" s="254"/>
      <x:c r="G137" s="254"/>
      <x:c r="H137" s="254"/>
      <x:c r="I137" s="254"/>
      <x:c r="J137" s="254"/>
      <x:c r="K137" s="254"/>
    </x:row>
    <x:row r="138">
      <x:c r="A138" s="254"/>
      <x:c r="B138" s="254"/>
      <x:c r="C138" s="254"/>
      <x:c r="D138" s="254"/>
      <x:c r="E138" s="254"/>
      <x:c r="F138" s="254"/>
      <x:c r="G138" s="254"/>
      <x:c r="H138" s="254"/>
      <x:c r="I138" s="254"/>
      <x:c r="J138" s="254"/>
      <x:c r="K138" s="254"/>
    </x:row>
    <x:row r="139">
      <x:c r="A139" s="254"/>
      <x:c r="B139" s="254"/>
      <x:c r="C139" s="254"/>
      <x:c r="D139" s="254"/>
      <x:c r="E139" s="254"/>
      <x:c r="F139" s="254"/>
      <x:c r="G139" s="254"/>
      <x:c r="H139" s="254"/>
      <x:c r="I139" s="254"/>
      <x:c r="J139" s="254"/>
      <x:c r="K139" s="254"/>
    </x:row>
    <x:row r="140">
      <x:c r="A140" s="254"/>
      <x:c r="B140" s="254"/>
      <x:c r="C140" s="254"/>
      <x:c r="D140" s="254"/>
      <x:c r="E140" s="254"/>
      <x:c r="F140" s="254"/>
      <x:c r="G140" s="254"/>
      <x:c r="H140" s="254"/>
      <x:c r="I140" s="254"/>
      <x:c r="J140" s="254"/>
      <x:c r="K140" s="254"/>
    </x:row>
    <x:row r="141">
      <x:c r="A141" s="254"/>
      <x:c r="B141" s="254"/>
      <x:c r="C141" s="254"/>
      <x:c r="D141" s="254"/>
      <x:c r="E141" s="254"/>
      <x:c r="F141" s="254"/>
      <x:c r="G141" s="254"/>
      <x:c r="H141" s="254"/>
      <x:c r="I141" s="254"/>
      <x:c r="J141" s="254"/>
      <x:c r="K141" s="254"/>
    </x:row>
    <x:row r="142">
      <x:c r="A142" s="254"/>
      <x:c r="B142" s="254"/>
      <x:c r="C142" s="254"/>
      <x:c r="D142" s="254"/>
      <x:c r="E142" s="254"/>
      <x:c r="F142" s="254"/>
      <x:c r="G142" s="254"/>
      <x:c r="H142" s="254"/>
      <x:c r="I142" s="254"/>
      <x:c r="J142" s="254"/>
      <x:c r="K142" s="254"/>
    </x:row>
    <x:row r="143">
      <x:c r="A143" s="254"/>
      <x:c r="B143" s="254"/>
      <x:c r="C143" s="254"/>
      <x:c r="D143" s="254"/>
      <x:c r="E143" s="254"/>
      <x:c r="F143" s="254"/>
      <x:c r="G143" s="254"/>
      <x:c r="H143" s="254"/>
      <x:c r="I143" s="254"/>
      <x:c r="J143" s="254"/>
      <x:c r="K143" s="254"/>
    </x:row>
    <x:row r="144">
      <x:c r="A144" s="254"/>
      <x:c r="B144" s="254"/>
      <x:c r="C144" s="254"/>
      <x:c r="D144" s="254"/>
      <x:c r="E144" s="254"/>
      <x:c r="F144" s="254"/>
      <x:c r="G144" s="254"/>
      <x:c r="H144" s="254"/>
      <x:c r="I144" s="254"/>
      <x:c r="J144" s="254"/>
      <x:c r="K144" s="254"/>
    </x:row>
    <x:row r="145">
      <x:c r="A145" s="254"/>
      <x:c r="B145" s="254"/>
      <x:c r="C145" s="254"/>
      <x:c r="D145" s="254"/>
      <x:c r="E145" s="254"/>
      <x:c r="F145" s="254"/>
      <x:c r="G145" s="254"/>
      <x:c r="H145" s="254"/>
      <x:c r="I145" s="254"/>
      <x:c r="J145" s="254"/>
      <x:c r="K145" s="254"/>
    </x:row>
    <x:row r="146">
      <x:c r="A146" s="254"/>
      <x:c r="B146" s="254"/>
      <x:c r="C146" s="254"/>
      <x:c r="D146" s="254"/>
      <x:c r="E146" s="254"/>
      <x:c r="F146" s="254"/>
      <x:c r="G146" s="254"/>
      <x:c r="H146" s="254"/>
      <x:c r="I146" s="254"/>
      <x:c r="J146" s="254"/>
      <x:c r="K146" s="254"/>
    </x:row>
    <x:row r="147">
      <x:c r="A147" s="254"/>
      <x:c r="B147" s="254"/>
      <x:c r="C147" s="254"/>
      <x:c r="D147" s="254"/>
      <x:c r="E147" s="254"/>
      <x:c r="F147" s="254"/>
      <x:c r="G147" s="254"/>
      <x:c r="H147" s="254"/>
      <x:c r="I147" s="254"/>
      <x:c r="J147" s="254"/>
      <x:c r="K147" s="254"/>
    </x:row>
    <x:row r="148">
      <x:c r="A148" s="254"/>
      <x:c r="B148" s="254"/>
      <x:c r="C148" s="254"/>
      <x:c r="D148" s="254"/>
      <x:c r="E148" s="254"/>
      <x:c r="F148" s="254"/>
      <x:c r="G148" s="254"/>
      <x:c r="H148" s="254"/>
      <x:c r="I148" s="254"/>
      <x:c r="J148" s="254"/>
      <x:c r="K148" s="254"/>
    </x:row>
    <x:row r="149">
      <x:c r="A149" s="254"/>
      <x:c r="B149" s="254"/>
      <x:c r="C149" s="254"/>
      <x:c r="D149" s="254"/>
      <x:c r="E149" s="254"/>
      <x:c r="F149" s="254"/>
      <x:c r="G149" s="254"/>
      <x:c r="H149" s="254"/>
      <x:c r="I149" s="254"/>
      <x:c r="J149" s="254"/>
      <x:c r="K149" s="254"/>
    </x:row>
    <x:row r="150">
      <x:c r="A150" s="254"/>
      <x:c r="B150" s="254"/>
      <x:c r="C150" s="254"/>
      <x:c r="D150" s="254"/>
      <x:c r="E150" s="254"/>
      <x:c r="F150" s="254"/>
      <x:c r="G150" s="254"/>
      <x:c r="H150" s="254"/>
      <x:c r="I150" s="254"/>
      <x:c r="J150" s="254"/>
      <x:c r="K150" s="254"/>
    </x:row>
  </x:sheetData>
  <x:mergeCells>
    <x:mergeCell ref="A1:H1"/>
    <x:mergeCell ref="A2:H2"/>
    <x:mergeCell ref="A18:G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5" t="str">
        <x:v>VALUATION &amp; TANGIBLE BOOK</x:v>
      </x:c>
      <x:c r="B1" s="5"/>
      <x:c r="C1" s="5"/>
      <x:c r="D1" s="5"/>
      <x:c r="E1" s="5"/>
      <x:c r="F1" s="5"/>
      <x:c r="G1" s="5"/>
      <x:c r="H1" s="5"/>
      <x:c r="I1" s="254"/>
      <x:c r="J1" s="254"/>
      <x:c r="K1" s="254"/>
    </x:row>
    <x:row r="2" ht="22" customHeight="1">
      <x:c r="A2" s="13" t="str">
        <x:v>Primary banking valuation: P/B and P/TBV | All per-share values and multiples shown to 2 decimals</x:v>
      </x:c>
      <x:c r="B2" s="13"/>
      <x:c r="C2" s="13"/>
      <x:c r="D2" s="13"/>
      <x:c r="E2" s="13"/>
      <x:c r="F2" s="13"/>
      <x:c r="G2" s="13"/>
      <x:c r="H2" s="13"/>
      <x:c r="I2" s="254"/>
      <x:c r="J2" s="254"/>
      <x:c r="K2" s="254"/>
    </x:row>
    <x:row r="3">
      <x:c r="A3" s="254"/>
      <x:c r="B3" s="254"/>
      <x:c r="C3" s="254"/>
      <x:c r="D3" s="254"/>
      <x:c r="E3" s="254"/>
      <x:c r="F3" s="254"/>
      <x:c r="G3" s="254"/>
      <x:c r="H3" s="254"/>
      <x:c r="I3" s="254"/>
      <x:c r="J3" s="254"/>
      <x:c r="K3" s="254"/>
    </x:row>
    <x:row r="4" ht="32" customHeight="1">
      <x:c r="A4" s="36" t="str">
        <x:v>Metric</x:v>
      </x:c>
      <x:c r="B4" s="37" t="str">
        <x:v>Axis Bank</x:v>
      </x:c>
      <x:c r="C4" s="37" t="str">
        <x:v>HDFC Bank</x:v>
      </x:c>
      <x:c r="D4" s="37" t="str">
        <x:v>ICICI Bank</x:v>
      </x:c>
      <x:c r="E4" s="37" t="str">
        <x:v>Kotak Mahindra Bank</x:v>
      </x:c>
      <x:c r="F4" s="37" t="str">
        <x:v>Federal Bank</x:v>
      </x:c>
      <x:c r="G4" s="37" t="str">
        <x:v>Peer Median</x:v>
      </x:c>
      <x:c r="H4" s="37" t="str">
        <x:v>Peer Min</x:v>
      </x:c>
      <x:c r="I4" s="38" t="str">
        <x:v>Peer Max</x:v>
      </x:c>
      <x:c r="J4" s="254"/>
      <x:c r="K4" s="254"/>
    </x:row>
    <x:row r="5">
      <x:c r="A5" s="202" t="str">
        <x:v>Share Price (₹)</x:v>
      </x:c>
      <x:c r="B5" s="203" t="n">
        <x:f>'Raw Data'!$B$6</x:f>
        <x:v>1257</x:v>
      </x:c>
      <x:c r="C5" s="203" t="n">
        <x:f>'Raw Data'!$B$32</x:f>
        <x:v>729</x:v>
      </x:c>
      <x:c r="D5" s="203" t="n">
        <x:f>'Raw Data'!$B$58</x:f>
        <x:v>1339</x:v>
      </x:c>
      <x:c r="E5" s="203" t="n">
        <x:f>'Raw Data'!$B$84</x:f>
        <x:v>412</x:v>
      </x:c>
      <x:c r="F5" s="203" t="n">
        <x:f>'Raw Data'!$B$110</x:f>
        <x:v>333</x:v>
      </x:c>
      <x:c r="G5" s="204" t="n">
        <x:f>MEDIAN(B5:F5)</x:f>
        <x:v>729</x:v>
      </x:c>
      <x:c r="H5" s="204" t="n">
        <x:f>MIN(B5:F5)</x:f>
        <x:v>333</x:v>
      </x:c>
      <x:c r="I5" s="205" t="n">
        <x:f>MAX(B5:F5)</x:f>
        <x:v>1339</x:v>
      </x:c>
      <x:c r="J5" s="254"/>
      <x:c r="K5" s="254"/>
    </x:row>
    <x:row r="6">
      <x:c r="A6" s="202" t="str">
        <x:v>Market Cap (₹ Cr)</x:v>
      </x:c>
      <x:c r="B6" s="203" t="n">
        <x:f>'Raw Data'!$B$7</x:f>
        <x:v>391366</x:v>
      </x:c>
      <x:c r="C6" s="203" t="n">
        <x:f>'Raw Data'!$B$33</x:f>
        <x:v>1124032</x:v>
      </x:c>
      <x:c r="D6" s="203" t="n">
        <x:f>'Raw Data'!$B$59</x:f>
        <x:v>961076</x:v>
      </x:c>
      <x:c r="E6" s="203" t="n">
        <x:f>'Raw Data'!$B$85</x:f>
        <x:v>409849</x:v>
      </x:c>
      <x:c r="F6" s="203" t="n">
        <x:f>'Raw Data'!$B$111</x:f>
        <x:v>82274</x:v>
      </x:c>
      <x:c r="G6" s="204" t="n">
        <x:f>MEDIAN(B6:F6)</x:f>
        <x:v>409849</x:v>
      </x:c>
      <x:c r="H6" s="204" t="n">
        <x:f>MIN(B6:F6)</x:f>
        <x:v>82274</x:v>
      </x:c>
      <x:c r="I6" s="205" t="n">
        <x:f>MAX(B6:F6)</x:f>
        <x:v>1124032</x:v>
      </x:c>
      <x:c r="J6" s="254"/>
      <x:c r="K6" s="254"/>
    </x:row>
    <x:row r="7">
      <x:c r="A7" s="202" t="str">
        <x:v>Common Equity (₹ Cr)</x:v>
      </x:c>
      <x:c r="B7" s="203" t="n">
        <x:f>'Raw Data'!$B$11</x:f>
        <x:v>215035.4</x:v>
      </x:c>
      <x:c r="C7" s="203" t="n">
        <x:f>'Raw Data'!$B$37</x:f>
        <x:v>586059.5</x:v>
      </x:c>
      <x:c r="D7" s="203" t="n">
        <x:f>'Raw Data'!$B$63</x:f>
        <x:v>363060.4</x:v>
      </x:c>
      <x:c r="E7" s="203" t="n">
        <x:f>'Raw Data'!$B$89</x:f>
        <x:v>181225.9</x:v>
      </x:c>
      <x:c r="F7" s="203" t="n">
        <x:f>'Raw Data'!$B$115</x:f>
        <x:v>40043</x:v>
      </x:c>
      <x:c r="G7" s="204" t="n">
        <x:f>MEDIAN(B7:F7)</x:f>
        <x:v>215035.4</x:v>
      </x:c>
      <x:c r="H7" s="204" t="n">
        <x:f>MIN(B7:F7)</x:f>
        <x:v>40043</x:v>
      </x:c>
      <x:c r="I7" s="205" t="n">
        <x:f>MAX(B7:F7)</x:f>
        <x:v>586059.5</x:v>
      </x:c>
      <x:c r="J7" s="254"/>
      <x:c r="K7" s="254"/>
    </x:row>
    <x:row r="8">
      <x:c r="A8" s="240" t="str">
        <x:v>Goodwill (₹ Cr)</x:v>
      </x:c>
      <x:c r="B8" s="276" t="n">
        <x:f>'Raw Data'!$B$12</x:f>
        <x:v>289.2</x:v>
      </x:c>
      <x:c r="C8" s="276" t="n">
        <x:f>'Raw Data'!$B$38</x:f>
        <x:v>0</x:v>
      </x:c>
      <x:c r="D8" s="276" t="n">
        <x:f>'Raw Data'!$B$64</x:f>
        <x:v>10550.1</x:v>
      </x:c>
      <x:c r="E8" s="276" t="n">
        <x:f>'Raw Data'!$B$90</x:f>
        <x:v>947.8</x:v>
      </x:c>
      <x:c r="F8" s="276" t="n">
        <x:f>'Raw Data'!$B$116</x:f>
        <x:v>0</x:v>
      </x:c>
      <x:c r="G8" s="277" t="n">
        <x:f>MEDIAN(B8:F8)</x:f>
        <x:v>289.2</x:v>
      </x:c>
      <x:c r="H8" s="277" t="n">
        <x:f>MIN(B8:F8)</x:f>
        <x:v>0</x:v>
      </x:c>
      <x:c r="I8" s="278" t="n">
        <x:f>MAX(B8:F8)</x:f>
        <x:v>10550.1</x:v>
      </x:c>
      <x:c r="J8" s="254"/>
      <x:c r="K8" s="254"/>
    </x:row>
    <x:row r="9">
      <x:c r="A9" s="240" t="str">
        <x:v>Other Intangible Assets (₹ Cr)</x:v>
      </x:c>
      <x:c r="B9" s="276" t="n">
        <x:f>'Raw Data'!$B$13</x:f>
        <x:v>0.1</x:v>
      </x:c>
      <x:c r="C9" s="276" t="n">
        <x:f>'Raw Data'!$B$39</x:f>
        <x:v>0</x:v>
      </x:c>
      <x:c r="D9" s="276" t="n">
        <x:f>'Raw Data'!$B$65</x:f>
        <x:v>0</x:v>
      </x:c>
      <x:c r="E9" s="276" t="n">
        <x:f>'Raw Data'!$B$91</x:f>
        <x:v>0</x:v>
      </x:c>
      <x:c r="F9" s="276" t="n">
        <x:f>'Raw Data'!$B$117</x:f>
        <x:v>0</x:v>
      </x:c>
      <x:c r="G9" s="277" t="n">
        <x:f>MEDIAN(B9:F9)</x:f>
        <x:v>0</x:v>
      </x:c>
      <x:c r="H9" s="277" t="n">
        <x:f>MIN(B9:F9)</x:f>
        <x:v>0</x:v>
      </x:c>
      <x:c r="I9" s="278" t="n">
        <x:f>MAX(B9:F9)</x:f>
        <x:v>0.1</x:v>
      </x:c>
      <x:c r="J9" s="254"/>
      <x:c r="K9" s="254"/>
    </x:row>
    <x:row r="10">
      <x:c r="A10" s="240" t="str">
        <x:v>Total Intangible Assets (₹ Cr)</x:v>
      </x:c>
      <x:c r="B10" s="277" t="n">
        <x:f>B8+B9</x:f>
        <x:v>289.3</x:v>
      </x:c>
      <x:c r="C10" s="277" t="n">
        <x:f>C8+C9</x:f>
        <x:v>0</x:v>
      </x:c>
      <x:c r="D10" s="277" t="n">
        <x:f>D8+D9</x:f>
        <x:v>10550.1</x:v>
      </x:c>
      <x:c r="E10" s="277" t="n">
        <x:f>E8+E9</x:f>
        <x:v>947.8</x:v>
      </x:c>
      <x:c r="F10" s="277" t="n">
        <x:f>F8+F9</x:f>
        <x:v>0</x:v>
      </x:c>
      <x:c r="G10" s="277" t="n">
        <x:f>MEDIAN(B10:F10)</x:f>
        <x:v>289.3</x:v>
      </x:c>
      <x:c r="H10" s="277" t="n">
        <x:f>MIN(B10:F10)</x:f>
        <x:v>0</x:v>
      </x:c>
      <x:c r="I10" s="278" t="n">
        <x:f>MAX(B10:F10)</x:f>
        <x:v>10550.1</x:v>
      </x:c>
      <x:c r="J10" s="254"/>
      <x:c r="K10" s="254"/>
    </x:row>
    <x:row r="11">
      <x:c r="A11" s="282" t="str">
        <x:v>Tangible Common Equity (₹ Cr)</x:v>
      </x:c>
      <x:c r="B11" s="283" t="n">
        <x:f>B7-B10</x:f>
        <x:v>214746.1</x:v>
      </x:c>
      <x:c r="C11" s="283" t="n">
        <x:f>C7-C10</x:f>
        <x:v>586059.5</x:v>
      </x:c>
      <x:c r="D11" s="283" t="n">
        <x:f>D7-D10</x:f>
        <x:v>352510.30000000005</x:v>
      </x:c>
      <x:c r="E11" s="283" t="n">
        <x:f>E7-E10</x:f>
        <x:v>180278.1</x:v>
      </x:c>
      <x:c r="F11" s="283" t="n">
        <x:f>F7-F10</x:f>
        <x:v>40043</x:v>
      </x:c>
      <x:c r="G11" s="283" t="n">
        <x:f>MEDIAN(B11:F11)</x:f>
        <x:v>214746.1</x:v>
      </x:c>
      <x:c r="H11" s="283" t="n">
        <x:f>MIN(B11:F11)</x:f>
        <x:v>40043</x:v>
      </x:c>
      <x:c r="I11" s="284" t="n">
        <x:f>MAX(B11:F11)</x:f>
        <x:v>586059.5</x:v>
      </x:c>
      <x:c r="J11" s="254"/>
      <x:c r="K11" s="254"/>
    </x:row>
    <x:row r="12">
      <x:c r="A12" s="202" t="str">
        <x:v>Shares Outstanding (Cr)</x:v>
      </x:c>
      <x:c r="B12" s="206" t="n">
        <x:f>'Raw Data'!$B$15</x:f>
        <x:v>310.8</x:v>
      </x:c>
      <x:c r="C12" s="206" t="n">
        <x:f>'Raw Data'!$B$41</x:f>
        <x:v>1539.3</x:v>
      </x:c>
      <x:c r="D12" s="206" t="n">
        <x:f>'Raw Data'!$B$67</x:f>
        <x:v>716</x:v>
      </x:c>
      <x:c r="E12" s="206" t="n">
        <x:f>'Raw Data'!$B$93</x:f>
        <x:v>994.6</x:v>
      </x:c>
      <x:c r="F12" s="206" t="n">
        <x:f>'Raw Data'!$B$119</x:f>
        <x:v>246.4</x:v>
      </x:c>
      <x:c r="G12" s="207" t="n">
        <x:f>MEDIAN(B12:F12)</x:f>
        <x:v>716</x:v>
      </x:c>
      <x:c r="H12" s="207" t="n">
        <x:f>MIN(B12:F12)</x:f>
        <x:v>246.4</x:v>
      </x:c>
      <x:c r="I12" s="208" t="n">
        <x:f>MAX(B12:F12)</x:f>
        <x:v>1539.3</x:v>
      </x:c>
      <x:c r="J12" s="254"/>
      <x:c r="K12" s="254"/>
    </x:row>
    <x:row r="13">
      <x:c r="A13" s="209" t="str">
        <x:v>BVPS (₹)</x:v>
      </x:c>
      <x:c r="B13" s="210" t="n">
        <x:f>IFERROR(B7/B12,0)</x:f>
        <x:v>691.8770913770913</x:v>
      </x:c>
      <x:c r="C13" s="210" t="n">
        <x:f>IFERROR(C7/C12,0)</x:f>
        <x:v>380.7311765088027</x:v>
      </x:c>
      <x:c r="D13" s="210" t="n">
        <x:f>IFERROR(D7/D12,0)</x:f>
        <x:v>507.0675977653632</x:v>
      </x:c>
      <x:c r="E13" s="210" t="n">
        <x:f>IFERROR(E7/E12,0)</x:f>
        <x:v>182.20983309873316</x:v>
      </x:c>
      <x:c r="F13" s="210" t="n">
        <x:f>IFERROR(F7/F12,0)</x:f>
        <x:v>162.51217532467533</x:v>
      </x:c>
      <x:c r="G13" s="210" t="n">
        <x:f>MEDIAN(B13:F13)</x:f>
        <x:v>380.7311765088027</x:v>
      </x:c>
      <x:c r="H13" s="210" t="n">
        <x:f>MIN(B13:F13)</x:f>
        <x:v>162.51217532467533</x:v>
      </x:c>
      <x:c r="I13" s="211" t="n">
        <x:f>MAX(B13:F13)</x:f>
        <x:v>691.8770913770913</x:v>
      </x:c>
      <x:c r="J13" s="254"/>
      <x:c r="K13" s="254"/>
    </x:row>
    <x:row r="14">
      <x:c r="A14" s="209" t="str">
        <x:v>TBVPS (₹)</x:v>
      </x:c>
      <x:c r="B14" s="210" t="n">
        <x:f>IFERROR(B11/B12,0)</x:f>
        <x:v>690.9462676962677</x:v>
      </x:c>
      <x:c r="C14" s="210" t="n">
        <x:f>IFERROR(C11/C12,0)</x:f>
        <x:v>380.7311765088027</x:v>
      </x:c>
      <x:c r="D14" s="210" t="n">
        <x:f>IFERROR(D11/D12,0)</x:f>
        <x:v>492.33282122905035</x:v>
      </x:c>
      <x:c r="E14" s="210" t="n">
        <x:f>IFERROR(E11/E12,0)</x:f>
        <x:v>181.2568871908305</x:v>
      </x:c>
      <x:c r="F14" s="210" t="n">
        <x:f>IFERROR(F11/F12,0)</x:f>
        <x:v>162.51217532467533</x:v>
      </x:c>
      <x:c r="G14" s="210" t="n">
        <x:f>MEDIAN(B14:F14)</x:f>
        <x:v>380.7311765088027</x:v>
      </x:c>
      <x:c r="H14" s="210" t="n">
        <x:f>MIN(B14:F14)</x:f>
        <x:v>162.51217532467533</x:v>
      </x:c>
      <x:c r="I14" s="211" t="n">
        <x:f>MAX(B14:F14)</x:f>
        <x:v>690.9462676962677</x:v>
      </x:c>
      <x:c r="J14" s="254"/>
      <x:c r="K14" s="254"/>
    </x:row>
    <x:row r="15">
      <x:c r="A15" s="202" t="str">
        <x:v>Tangibility / Common Equity (%)</x:v>
      </x:c>
      <x:c r="B15" s="212" t="n">
        <x:f>IFERROR(B11/B7,0)</x:f>
        <x:v>0.9986546401197198</x:v>
      </x:c>
      <x:c r="C15" s="212" t="n">
        <x:f>IFERROR(C11/C7,0)</x:f>
        <x:v>1</x:v>
      </x:c>
      <x:c r="D15" s="212" t="n">
        <x:f>IFERROR(D11/D7,0)</x:f>
        <x:v>0.9709411987647235</x:v>
      </x:c>
      <x:c r="E15" s="212" t="n">
        <x:f>IFERROR(E11/E7,0)</x:f>
        <x:v>0.9947700632194405</x:v>
      </x:c>
      <x:c r="F15" s="212" t="n">
        <x:f>IFERROR(F11/F7,0)</x:f>
        <x:v>1</x:v>
      </x:c>
      <x:c r="G15" s="212" t="n">
        <x:f>MEDIAN(B15:F15)</x:f>
        <x:v>0.9986546401197198</x:v>
      </x:c>
      <x:c r="H15" s="212" t="n">
        <x:f>MIN(B15:F15)</x:f>
        <x:v>0.9709411987647235</x:v>
      </x:c>
      <x:c r="I15" s="213" t="n">
        <x:f>MAX(B15:F15)</x:f>
        <x:v>1</x:v>
      </x:c>
      <x:c r="J15" s="254"/>
      <x:c r="K15" s="254"/>
    </x:row>
    <x:row r="16">
      <x:c r="A16" s="202" t="str">
        <x:v>TBVPS Discount to BVPS (%)</x:v>
      </x:c>
      <x:c r="B16" s="212" t="n">
        <x:f>IFERROR(1-B14/B13,0)</x:f>
        <x:v>0.0013453598802801725</x:v>
      </x:c>
      <x:c r="C16" s="212" t="n">
        <x:f>IFERROR(1-C14/C13,0)</x:f>
        <x:v>0</x:v>
      </x:c>
      <x:c r="D16" s="212" t="n">
        <x:f>IFERROR(1-D14/D13,0)</x:f>
        <x:v>0.029058801235276488</x:v>
      </x:c>
      <x:c r="E16" s="212" t="n">
        <x:f>IFERROR(1-E14/E13,0)</x:f>
        <x:v>0.0052299367805593855</x:v>
      </x:c>
      <x:c r="F16" s="212" t="n">
        <x:f>IFERROR(1-F14/F13,0)</x:f>
        <x:v>0</x:v>
      </x:c>
      <x:c r="G16" s="212" t="n">
        <x:f>MEDIAN(B16:F16)</x:f>
        <x:v>0.0013453598802801725</x:v>
      </x:c>
      <x:c r="H16" s="212" t="n">
        <x:f>MIN(B16:F16)</x:f>
        <x:v>0</x:v>
      </x:c>
      <x:c r="I16" s="213" t="n">
        <x:f>MAX(B16:F16)</x:f>
        <x:v>0.029058801235276488</x:v>
      </x:c>
      <x:c r="J16" s="254"/>
      <x:c r="K16" s="254"/>
    </x:row>
    <x:row r="17">
      <x:c r="A17" s="214" t="str">
        <x:v>P/B (x)</x:v>
      </x:c>
      <x:c r="B17" s="215" t="n">
        <x:f>IFERROR(B5/B13,0)</x:f>
        <x:v>1.8167966762681866</x:v>
      </x:c>
      <x:c r="C17" s="215" t="n">
        <x:f>IFERROR(C5/C13,0)</x:f>
        <x:v>1.9147368142654457</x:v>
      </x:c>
      <x:c r="D17" s="215" t="n">
        <x:f>IFERROR(D5/D13,0)</x:f>
        <x:v>2.6406735628562075</x:v>
      </x:c>
      <x:c r="E17" s="215" t="n">
        <x:f>IFERROR(E5/E13,0)</x:f>
        <x:v>2.261129341887666</x:v>
      </x:c>
      <x:c r="F17" s="215" t="n">
        <x:f>IFERROR(F5/F13,0)</x:f>
        <x:v>2.0490772419648877</x:v>
      </x:c>
      <x:c r="G17" s="215" t="n">
        <x:f>MEDIAN(B17:F17)</x:f>
        <x:v>2.0490772419648877</x:v>
      </x:c>
      <x:c r="H17" s="215" t="n">
        <x:f>MIN(B17:F17)</x:f>
        <x:v>1.8167966762681866</x:v>
      </x:c>
      <x:c r="I17" s="216" t="n">
        <x:f>MAX(B17:F17)</x:f>
        <x:v>2.6406735628562075</x:v>
      </x:c>
      <x:c r="J17" s="254"/>
      <x:c r="K17" s="254"/>
    </x:row>
    <x:row r="18">
      <x:c r="A18" s="214" t="str">
        <x:v>P/TBV (x)</x:v>
      </x:c>
      <x:c r="B18" s="215" t="n">
        <x:f>IFERROR(B5/B14,0)</x:f>
        <x:v>1.8192442144467351</x:v>
      </x:c>
      <x:c r="C18" s="215" t="n">
        <x:f>IFERROR(C5/C14,0)</x:f>
        <x:v>1.9147368142654457</x:v>
      </x:c>
      <x:c r="D18" s="215" t="n">
        <x:f>IFERROR(D5/D14,0)</x:f>
        <x:v>2.7197049277709042</x:v>
      </x:c>
      <x:c r="E18" s="215" t="n">
        <x:f>IFERROR(E5/E14,0)</x:f>
        <x:v>2.2730170775041447</x:v>
      </x:c>
      <x:c r="F18" s="215" t="n">
        <x:f>IFERROR(F5/F14,0)</x:f>
        <x:v>2.0490772419648877</x:v>
      </x:c>
      <x:c r="G18" s="215" t="n">
        <x:f>MEDIAN(B18:F18)</x:f>
        <x:v>2.0490772419648877</x:v>
      </x:c>
      <x:c r="H18" s="215" t="n">
        <x:f>MIN(B18:F18)</x:f>
        <x:v>1.8192442144467351</x:v>
      </x:c>
      <x:c r="I18" s="216" t="n">
        <x:f>MAX(B18:F18)</x:f>
        <x:v>2.7197049277709042</x:v>
      </x:c>
      <x:c r="J18" s="254"/>
      <x:c r="K18" s="254"/>
    </x:row>
    <x:row r="19">
      <x:c r="A19" s="202" t="str">
        <x:v>Source P/E (x)</x:v>
      </x:c>
      <x:c r="B19" s="217" t="n">
        <x:f>'Raw Data'!$B$8</x:f>
        <x:v>15.2</x:v>
      </x:c>
      <x:c r="C19" s="217" t="n">
        <x:f>'Raw Data'!$B$34</x:f>
        <x:v>14.9</x:v>
      </x:c>
      <x:c r="D19" s="217" t="n">
        <x:f>'Raw Data'!$B$60</x:f>
        <x:v>18.4</x:v>
      </x:c>
      <x:c r="E19" s="217" t="n">
        <x:f>'Raw Data'!$B$86</x:f>
        <x:v>20.5</x:v>
      </x:c>
      <x:c r="F19" s="217" t="n">
        <x:f>'Raw Data'!$B$112</x:f>
        <x:v>18.6</x:v>
      </x:c>
      <x:c r="G19" s="218" t="n">
        <x:f>MEDIAN(B19:F19)</x:f>
        <x:v>18.4</x:v>
      </x:c>
      <x:c r="H19" s="218" t="n">
        <x:f>MIN(B19:F19)</x:f>
        <x:v>14.9</x:v>
      </x:c>
      <x:c r="I19" s="219" t="n">
        <x:f>MAX(B19:F19)</x:f>
        <x:v>20.5</x:v>
      </x:c>
      <x:c r="J19" s="254"/>
      <x:c r="K19" s="254"/>
    </x:row>
    <x:row r="20">
      <x:c r="A20" s="202" t="str">
        <x:v>Dividend Yield (%)</x:v>
      </x:c>
      <x:c r="B20" s="220" t="n">
        <x:f>'Raw Data'!$B$10</x:f>
        <x:v>0.0008</x:v>
      </x:c>
      <x:c r="C20" s="220" t="n">
        <x:f>'Raw Data'!$B$36</x:f>
        <x:v>0.0178</x:v>
      </x:c>
      <x:c r="D20" s="220" t="n">
        <x:f>'Raw Data'!$B$62</x:f>
        <x:v>0.009</x:v>
      </x:c>
      <x:c r="E20" s="220" t="n">
        <x:f>'Raw Data'!$B$88</x:f>
        <x:v>0.0016</x:v>
      </x:c>
      <x:c r="F20" s="220" t="n">
        <x:f>'Raw Data'!$B$114</x:f>
        <x:v>0.0036</x:v>
      </x:c>
      <x:c r="G20" s="212" t="n">
        <x:f>MEDIAN(B20:F20)</x:f>
        <x:v>0.0036</x:v>
      </x:c>
      <x:c r="H20" s="212" t="n">
        <x:f>MIN(B20:F20)</x:f>
        <x:v>0.0008</x:v>
      </x:c>
      <x:c r="I20" s="213" t="n">
        <x:f>MAX(B20:F20)</x:f>
        <x:v>0.0178</x:v>
      </x:c>
      <x:c r="J20" s="254"/>
      <x:c r="K20" s="254"/>
    </x:row>
    <x:row r="21">
      <x:c r="A21" s="254"/>
      <x:c r="B21" s="254"/>
      <x:c r="C21" s="254"/>
      <x:c r="D21" s="254"/>
      <x:c r="E21" s="254"/>
      <x:c r="F21" s="254"/>
      <x:c r="G21" s="254"/>
      <x:c r="H21" s="254"/>
      <x:c r="I21" s="254"/>
      <x:c r="J21" s="254"/>
      <x:c r="K21" s="254"/>
    </x:row>
    <x:row r="22">
      <x:c r="A22" s="267" t="str">
        <x:v>Tangible-book methodology: Tangible Common Equity = Common Equity − Goodwill − Other Intangible Assets. TBVPS = Tangible Common Equity ÷ Shares Outstanding. P/TBV = Share Price ÷ TBVPS.</x:v>
      </x:c>
      <x:c r="B22" s="267"/>
      <x:c r="C22" s="267"/>
      <x:c r="D22" s="267"/>
      <x:c r="E22" s="267"/>
      <x:c r="F22" s="267"/>
      <x:c r="G22" s="267"/>
      <x:c r="H22" s="267"/>
      <x:c r="I22" s="267"/>
      <x:c r="J22" s="254"/>
      <x:c r="K22" s="254"/>
    </x:row>
    <x:row r="23">
      <x:c r="A23" s="267"/>
      <x:c r="B23" s="267"/>
      <x:c r="C23" s="267"/>
      <x:c r="D23" s="267"/>
      <x:c r="E23" s="267"/>
      <x:c r="F23" s="267"/>
      <x:c r="G23" s="267"/>
      <x:c r="H23" s="267"/>
      <x:c r="I23" s="267"/>
      <x:c r="J23" s="254"/>
      <x:c r="K23" s="254"/>
    </x:row>
    <x:row r="24">
      <x:c r="A24" s="267"/>
      <x:c r="B24" s="267"/>
      <x:c r="C24" s="267"/>
      <x:c r="D24" s="267"/>
      <x:c r="E24" s="267"/>
      <x:c r="F24" s="267"/>
      <x:c r="G24" s="267"/>
      <x:c r="H24" s="267"/>
      <x:c r="I24" s="267"/>
      <x:c r="J24" s="254"/>
      <x:c r="K24" s="254"/>
    </x:row>
    <x:row r="25">
      <x:c r="A25" s="254"/>
      <x:c r="B25" s="254"/>
      <x:c r="C25" s="254"/>
      <x:c r="D25" s="254"/>
      <x:c r="E25" s="254"/>
      <x:c r="F25" s="254"/>
      <x:c r="G25" s="254"/>
      <x:c r="H25" s="254"/>
      <x:c r="I25" s="254"/>
      <x:c r="J25" s="254"/>
      <x:c r="K25" s="254"/>
    </x:row>
    <x:row r="26">
      <x:c r="A26" s="254"/>
      <x:c r="B26" s="254"/>
      <x:c r="C26" s="254"/>
      <x:c r="D26" s="254"/>
      <x:c r="E26" s="254"/>
      <x:c r="F26" s="254"/>
      <x:c r="G26" s="254"/>
      <x:c r="H26" s="254"/>
      <x:c r="I26" s="254"/>
      <x:c r="J26" s="254"/>
      <x:c r="K26" s="254"/>
    </x:row>
    <x:row r="27">
      <x:c r="A27" s="254"/>
      <x:c r="B27" s="254"/>
      <x:c r="C27" s="254"/>
      <x:c r="D27" s="254"/>
      <x:c r="E27" s="254"/>
      <x:c r="F27" s="254"/>
      <x:c r="G27" s="254"/>
      <x:c r="H27" s="254"/>
      <x:c r="I27" s="254"/>
      <x:c r="J27" s="254"/>
      <x:c r="K27" s="254"/>
    </x:row>
    <x:row r="28">
      <x:c r="A28" s="254"/>
      <x:c r="B28" s="254"/>
      <x:c r="C28" s="254"/>
      <x:c r="D28" s="254"/>
      <x:c r="E28" s="254"/>
      <x:c r="F28" s="254"/>
      <x:c r="G28" s="254"/>
      <x:c r="H28" s="254"/>
      <x:c r="I28" s="254"/>
      <x:c r="J28" s="254"/>
      <x:c r="K28" s="254"/>
    </x:row>
    <x:row r="29">
      <x:c r="A29" s="254"/>
      <x:c r="B29" s="254"/>
      <x:c r="C29" s="254"/>
      <x:c r="D29" s="254"/>
      <x:c r="E29" s="254"/>
      <x:c r="F29" s="254"/>
      <x:c r="G29" s="254"/>
      <x:c r="H29" s="254"/>
      <x:c r="I29" s="254"/>
      <x:c r="J29" s="254"/>
      <x:c r="K29" s="254"/>
    </x:row>
    <x:row r="30">
      <x:c r="A30" s="254"/>
      <x:c r="B30" s="254"/>
      <x:c r="C30" s="254"/>
      <x:c r="D30" s="254"/>
      <x:c r="E30" s="254"/>
      <x:c r="F30" s="254"/>
      <x:c r="G30" s="254"/>
      <x:c r="H30" s="254"/>
      <x:c r="I30" s="254"/>
      <x:c r="J30" s="254"/>
      <x:c r="K30" s="254"/>
    </x:row>
    <x:row r="31">
      <x:c r="A31" s="254"/>
      <x:c r="B31" s="254"/>
      <x:c r="C31" s="254"/>
      <x:c r="D31" s="254"/>
      <x:c r="E31" s="254"/>
      <x:c r="F31" s="254"/>
      <x:c r="G31" s="254"/>
      <x:c r="H31" s="254"/>
      <x:c r="I31" s="254"/>
      <x:c r="J31" s="254"/>
      <x:c r="K31" s="254"/>
    </x:row>
    <x:row r="32">
      <x:c r="A32" s="254"/>
      <x:c r="B32" s="254"/>
      <x:c r="C32" s="254"/>
      <x:c r="D32" s="254"/>
      <x:c r="E32" s="254"/>
      <x:c r="F32" s="254"/>
      <x:c r="G32" s="254"/>
      <x:c r="H32" s="254"/>
      <x:c r="I32" s="254"/>
      <x:c r="J32" s="254"/>
      <x:c r="K32" s="254"/>
    </x:row>
    <x:row r="33">
      <x:c r="A33" s="254"/>
      <x:c r="B33" s="254"/>
      <x:c r="C33" s="254"/>
      <x:c r="D33" s="254"/>
      <x:c r="E33" s="254"/>
      <x:c r="F33" s="254"/>
      <x:c r="G33" s="254"/>
      <x:c r="H33" s="254"/>
      <x:c r="I33" s="254"/>
      <x:c r="J33" s="254"/>
      <x:c r="K33" s="254"/>
    </x:row>
    <x:row r="34">
      <x:c r="A34" s="254"/>
      <x:c r="B34" s="254"/>
      <x:c r="C34" s="254"/>
      <x:c r="D34" s="254"/>
      <x:c r="E34" s="254"/>
      <x:c r="F34" s="254"/>
      <x:c r="G34" s="254"/>
      <x:c r="H34" s="254"/>
      <x:c r="I34" s="254"/>
      <x:c r="J34" s="254"/>
      <x:c r="K34" s="254"/>
    </x:row>
    <x:row r="35">
      <x:c r="A35" s="254"/>
      <x:c r="B35" s="254"/>
      <x:c r="C35" s="254"/>
      <x:c r="D35" s="254"/>
      <x:c r="E35" s="254"/>
      <x:c r="F35" s="254"/>
      <x:c r="G35" s="254"/>
      <x:c r="H35" s="254"/>
      <x:c r="I35" s="254"/>
      <x:c r="J35" s="254"/>
      <x:c r="K35" s="254"/>
    </x:row>
    <x:row r="36">
      <x:c r="A36" s="254"/>
      <x:c r="B36" s="254"/>
      <x:c r="C36" s="254"/>
      <x:c r="D36" s="254"/>
      <x:c r="E36" s="254"/>
      <x:c r="F36" s="254"/>
      <x:c r="G36" s="254"/>
      <x:c r="H36" s="254"/>
      <x:c r="I36" s="254"/>
      <x:c r="J36" s="254"/>
      <x:c r="K36" s="254"/>
    </x:row>
    <x:row r="37">
      <x:c r="A37" s="254"/>
      <x:c r="B37" s="254"/>
      <x:c r="C37" s="254"/>
      <x:c r="D37" s="254"/>
      <x:c r="E37" s="254"/>
      <x:c r="F37" s="254"/>
      <x:c r="G37" s="254"/>
      <x:c r="H37" s="254"/>
      <x:c r="I37" s="254"/>
      <x:c r="J37" s="254"/>
      <x:c r="K37" s="254"/>
    </x:row>
    <x:row r="38">
      <x:c r="A38" s="254"/>
      <x:c r="B38" s="254"/>
      <x:c r="C38" s="254"/>
      <x:c r="D38" s="254"/>
      <x:c r="E38" s="254"/>
      <x:c r="F38" s="254"/>
      <x:c r="G38" s="254"/>
      <x:c r="H38" s="254"/>
      <x:c r="I38" s="254"/>
      <x:c r="J38" s="254"/>
      <x:c r="K38" s="254"/>
    </x:row>
    <x:row r="39">
      <x:c r="A39" s="254"/>
      <x:c r="B39" s="254"/>
      <x:c r="C39" s="254"/>
      <x:c r="D39" s="254"/>
      <x:c r="E39" s="254"/>
      <x:c r="F39" s="254"/>
      <x:c r="G39" s="254"/>
      <x:c r="H39" s="254"/>
      <x:c r="I39" s="254"/>
      <x:c r="J39" s="254"/>
      <x:c r="K39" s="254"/>
    </x:row>
    <x:row r="40">
      <x:c r="A40" s="254"/>
      <x:c r="B40" s="254"/>
      <x:c r="C40" s="254"/>
      <x:c r="D40" s="254"/>
      <x:c r="E40" s="254"/>
      <x:c r="F40" s="254"/>
      <x:c r="G40" s="254"/>
      <x:c r="H40" s="254"/>
      <x:c r="I40" s="254"/>
      <x:c r="J40" s="254"/>
      <x:c r="K40" s="254"/>
    </x:row>
    <x:row r="41">
      <x:c r="A41" s="254"/>
      <x:c r="B41" s="254"/>
      <x:c r="C41" s="254"/>
      <x:c r="D41" s="254"/>
      <x:c r="E41" s="254"/>
      <x:c r="F41" s="254"/>
      <x:c r="G41" s="254"/>
      <x:c r="H41" s="254"/>
      <x:c r="I41" s="254"/>
      <x:c r="J41" s="254"/>
      <x:c r="K41" s="254"/>
    </x:row>
    <x:row r="42">
      <x:c r="A42" s="254"/>
      <x:c r="B42" s="254"/>
      <x:c r="C42" s="254"/>
      <x:c r="D42" s="254"/>
      <x:c r="E42" s="254"/>
      <x:c r="F42" s="254"/>
      <x:c r="G42" s="254"/>
      <x:c r="H42" s="254"/>
      <x:c r="I42" s="254"/>
      <x:c r="J42" s="254"/>
      <x:c r="K42" s="254"/>
    </x:row>
    <x:row r="43">
      <x:c r="A43" s="254"/>
      <x:c r="B43" s="254"/>
      <x:c r="C43" s="254"/>
      <x:c r="D43" s="254"/>
      <x:c r="E43" s="254"/>
      <x:c r="F43" s="254"/>
      <x:c r="G43" s="254"/>
      <x:c r="H43" s="254"/>
      <x:c r="I43" s="254"/>
      <x:c r="J43" s="254"/>
      <x:c r="K43" s="254"/>
    </x:row>
    <x:row r="44">
      <x:c r="A44" s="254"/>
      <x:c r="B44" s="254"/>
      <x:c r="C44" s="254"/>
      <x:c r="D44" s="254"/>
      <x:c r="E44" s="254"/>
      <x:c r="F44" s="254"/>
      <x:c r="G44" s="254"/>
      <x:c r="H44" s="254"/>
      <x:c r="I44" s="254"/>
      <x:c r="J44" s="254"/>
      <x:c r="K44" s="254"/>
    </x:row>
    <x:row r="45">
      <x:c r="A45" s="254"/>
      <x:c r="B45" s="254"/>
      <x:c r="C45" s="254"/>
      <x:c r="D45" s="254"/>
      <x:c r="E45" s="254"/>
      <x:c r="F45" s="254"/>
      <x:c r="G45" s="254"/>
      <x:c r="H45" s="254"/>
      <x:c r="I45" s="254"/>
      <x:c r="J45" s="254"/>
      <x:c r="K45" s="254"/>
    </x:row>
    <x:row r="46">
      <x:c r="A46" s="254"/>
      <x:c r="B46" s="254"/>
      <x:c r="C46" s="254"/>
      <x:c r="D46" s="254"/>
      <x:c r="E46" s="254"/>
      <x:c r="F46" s="254"/>
      <x:c r="G46" s="254"/>
      <x:c r="H46" s="254"/>
      <x:c r="I46" s="254"/>
      <x:c r="J46" s="254"/>
      <x:c r="K46" s="254"/>
    </x:row>
    <x:row r="47">
      <x:c r="A47" s="254"/>
      <x:c r="B47" s="254"/>
      <x:c r="C47" s="254"/>
      <x:c r="D47" s="254"/>
      <x:c r="E47" s="254"/>
      <x:c r="F47" s="254"/>
      <x:c r="G47" s="254"/>
      <x:c r="H47" s="254"/>
      <x:c r="I47" s="254"/>
      <x:c r="J47" s="254"/>
      <x:c r="K47" s="254"/>
    </x:row>
    <x:row r="48">
      <x:c r="A48" s="254"/>
      <x:c r="B48" s="254"/>
      <x:c r="C48" s="254"/>
      <x:c r="D48" s="254"/>
      <x:c r="E48" s="254"/>
      <x:c r="F48" s="254"/>
      <x:c r="G48" s="254"/>
      <x:c r="H48" s="254"/>
      <x:c r="I48" s="254"/>
      <x:c r="J48" s="254"/>
      <x:c r="K48" s="254"/>
    </x:row>
    <x:row r="49">
      <x:c r="A49" s="254"/>
      <x:c r="B49" s="254"/>
      <x:c r="C49" s="254"/>
      <x:c r="D49" s="254"/>
      <x:c r="E49" s="254"/>
      <x:c r="F49" s="254"/>
      <x:c r="G49" s="254"/>
      <x:c r="H49" s="254"/>
      <x:c r="I49" s="254"/>
      <x:c r="J49" s="254"/>
      <x:c r="K49" s="254"/>
    </x:row>
    <x:row r="50">
      <x:c r="A50" s="254"/>
      <x:c r="B50" s="254"/>
      <x:c r="C50" s="254"/>
      <x:c r="D50" s="254"/>
      <x:c r="E50" s="254"/>
      <x:c r="F50" s="254"/>
      <x:c r="G50" s="254"/>
      <x:c r="H50" s="254"/>
      <x:c r="I50" s="254"/>
      <x:c r="J50" s="254"/>
      <x:c r="K50" s="254"/>
    </x:row>
    <x:row r="51">
      <x:c r="A51" s="254"/>
      <x:c r="B51" s="254"/>
      <x:c r="C51" s="254"/>
      <x:c r="D51" s="254"/>
      <x:c r="E51" s="254"/>
      <x:c r="F51" s="254"/>
      <x:c r="G51" s="254"/>
      <x:c r="H51" s="254"/>
      <x:c r="I51" s="254"/>
      <x:c r="J51" s="254"/>
      <x:c r="K51" s="254"/>
    </x:row>
    <x:row r="52">
      <x:c r="A52" s="254"/>
      <x:c r="B52" s="254"/>
      <x:c r="C52" s="254"/>
      <x:c r="D52" s="254"/>
      <x:c r="E52" s="254"/>
      <x:c r="F52" s="254"/>
      <x:c r="G52" s="254"/>
      <x:c r="H52" s="254"/>
      <x:c r="I52" s="254"/>
      <x:c r="J52" s="254"/>
      <x:c r="K52" s="254"/>
    </x:row>
    <x:row r="53">
      <x:c r="A53" s="254"/>
      <x:c r="B53" s="254"/>
      <x:c r="C53" s="254"/>
      <x:c r="D53" s="254"/>
      <x:c r="E53" s="254"/>
      <x:c r="F53" s="254"/>
      <x:c r="G53" s="254"/>
      <x:c r="H53" s="254"/>
      <x:c r="I53" s="254"/>
      <x:c r="J53" s="254"/>
      <x:c r="K53" s="254"/>
    </x:row>
    <x:row r="54">
      <x:c r="A54" s="254"/>
      <x:c r="B54" s="254"/>
      <x:c r="C54" s="254"/>
      <x:c r="D54" s="254"/>
      <x:c r="E54" s="254"/>
      <x:c r="F54" s="254"/>
      <x:c r="G54" s="254"/>
      <x:c r="H54" s="254"/>
      <x:c r="I54" s="254"/>
      <x:c r="J54" s="254"/>
      <x:c r="K54" s="254"/>
    </x:row>
    <x:row r="55">
      <x:c r="A55" s="254"/>
      <x:c r="B55" s="254"/>
      <x:c r="C55" s="254"/>
      <x:c r="D55" s="254"/>
      <x:c r="E55" s="254"/>
      <x:c r="F55" s="254"/>
      <x:c r="G55" s="254"/>
      <x:c r="H55" s="254"/>
      <x:c r="I55" s="254"/>
      <x:c r="J55" s="254"/>
      <x:c r="K55" s="254"/>
    </x:row>
    <x:row r="56">
      <x:c r="A56" s="254"/>
      <x:c r="B56" s="254"/>
      <x:c r="C56" s="254"/>
      <x:c r="D56" s="254"/>
      <x:c r="E56" s="254"/>
      <x:c r="F56" s="254"/>
      <x:c r="G56" s="254"/>
      <x:c r="H56" s="254"/>
      <x:c r="I56" s="254"/>
      <x:c r="J56" s="254"/>
      <x:c r="K56" s="254"/>
    </x:row>
    <x:row r="57">
      <x:c r="A57" s="254"/>
      <x:c r="B57" s="254"/>
      <x:c r="C57" s="254"/>
      <x:c r="D57" s="254"/>
      <x:c r="E57" s="254"/>
      <x:c r="F57" s="254"/>
      <x:c r="G57" s="254"/>
      <x:c r="H57" s="254"/>
      <x:c r="I57" s="254"/>
      <x:c r="J57" s="254"/>
      <x:c r="K57" s="254"/>
    </x:row>
    <x:row r="58">
      <x:c r="A58" s="254"/>
      <x:c r="B58" s="254"/>
      <x:c r="C58" s="254"/>
      <x:c r="D58" s="254"/>
      <x:c r="E58" s="254"/>
      <x:c r="F58" s="254"/>
      <x:c r="G58" s="254"/>
      <x:c r="H58" s="254"/>
      <x:c r="I58" s="254"/>
      <x:c r="J58" s="254"/>
      <x:c r="K58" s="254"/>
    </x:row>
    <x:row r="59">
      <x:c r="A59" s="254"/>
      <x:c r="B59" s="254"/>
      <x:c r="C59" s="254"/>
      <x:c r="D59" s="254"/>
      <x:c r="E59" s="254"/>
      <x:c r="F59" s="254"/>
      <x:c r="G59" s="254"/>
      <x:c r="H59" s="254"/>
      <x:c r="I59" s="254"/>
      <x:c r="J59" s="254"/>
      <x:c r="K59" s="254"/>
    </x:row>
    <x:row r="60">
      <x:c r="A60" s="254"/>
      <x:c r="B60" s="254"/>
      <x:c r="C60" s="254"/>
      <x:c r="D60" s="254"/>
      <x:c r="E60" s="254"/>
      <x:c r="F60" s="254"/>
      <x:c r="G60" s="254"/>
      <x:c r="H60" s="254"/>
      <x:c r="I60" s="254"/>
      <x:c r="J60" s="254"/>
      <x:c r="K60" s="254"/>
    </x:row>
    <x:row r="61">
      <x:c r="A61" s="254"/>
      <x:c r="B61" s="254"/>
      <x:c r="C61" s="254"/>
      <x:c r="D61" s="254"/>
      <x:c r="E61" s="254"/>
      <x:c r="F61" s="254"/>
      <x:c r="G61" s="254"/>
      <x:c r="H61" s="254"/>
      <x:c r="I61" s="254"/>
      <x:c r="J61" s="254"/>
      <x:c r="K61" s="254"/>
    </x:row>
    <x:row r="62">
      <x:c r="A62" s="254"/>
      <x:c r="B62" s="254"/>
      <x:c r="C62" s="254"/>
      <x:c r="D62" s="254"/>
      <x:c r="E62" s="254"/>
      <x:c r="F62" s="254"/>
      <x:c r="G62" s="254"/>
      <x:c r="H62" s="254"/>
      <x:c r="I62" s="254"/>
      <x:c r="J62" s="254"/>
      <x:c r="K62" s="254"/>
    </x:row>
    <x:row r="63">
      <x:c r="A63" s="254"/>
      <x:c r="B63" s="254"/>
      <x:c r="C63" s="254"/>
      <x:c r="D63" s="254"/>
      <x:c r="E63" s="254"/>
      <x:c r="F63" s="254"/>
      <x:c r="G63" s="254"/>
      <x:c r="H63" s="254"/>
      <x:c r="I63" s="254"/>
      <x:c r="J63" s="254"/>
      <x:c r="K63" s="254"/>
    </x:row>
    <x:row r="64">
      <x:c r="A64" s="254"/>
      <x:c r="B64" s="254"/>
      <x:c r="C64" s="254"/>
      <x:c r="D64" s="254"/>
      <x:c r="E64" s="254"/>
      <x:c r="F64" s="254"/>
      <x:c r="G64" s="254"/>
      <x:c r="H64" s="254"/>
      <x:c r="I64" s="254"/>
      <x:c r="J64" s="254"/>
      <x:c r="K64" s="254"/>
    </x:row>
    <x:row r="65">
      <x:c r="A65" s="254"/>
      <x:c r="B65" s="254"/>
      <x:c r="C65" s="254"/>
      <x:c r="D65" s="254"/>
      <x:c r="E65" s="254"/>
      <x:c r="F65" s="254"/>
      <x:c r="G65" s="254"/>
      <x:c r="H65" s="254"/>
      <x:c r="I65" s="254"/>
      <x:c r="J65" s="254"/>
      <x:c r="K65" s="254"/>
    </x:row>
    <x:row r="66">
      <x:c r="A66" s="254"/>
      <x:c r="B66" s="254"/>
      <x:c r="C66" s="254"/>
      <x:c r="D66" s="254"/>
      <x:c r="E66" s="254"/>
      <x:c r="F66" s="254"/>
      <x:c r="G66" s="254"/>
      <x:c r="H66" s="254"/>
      <x:c r="I66" s="254"/>
      <x:c r="J66" s="254"/>
      <x:c r="K66" s="254"/>
    </x:row>
    <x:row r="67">
      <x:c r="A67" s="254"/>
      <x:c r="B67" s="254"/>
      <x:c r="C67" s="254"/>
      <x:c r="D67" s="254"/>
      <x:c r="E67" s="254"/>
      <x:c r="F67" s="254"/>
      <x:c r="G67" s="254"/>
      <x:c r="H67" s="254"/>
      <x:c r="I67" s="254"/>
      <x:c r="J67" s="254"/>
      <x:c r="K67" s="254"/>
    </x:row>
    <x:row r="68">
      <x:c r="A68" s="254"/>
      <x:c r="B68" s="254"/>
      <x:c r="C68" s="254"/>
      <x:c r="D68" s="254"/>
      <x:c r="E68" s="254"/>
      <x:c r="F68" s="254"/>
      <x:c r="G68" s="254"/>
      <x:c r="H68" s="254"/>
      <x:c r="I68" s="254"/>
      <x:c r="J68" s="254"/>
      <x:c r="K68" s="254"/>
    </x:row>
    <x:row r="69">
      <x:c r="A69" s="254"/>
      <x:c r="B69" s="254"/>
      <x:c r="C69" s="254"/>
      <x:c r="D69" s="254"/>
      <x:c r="E69" s="254"/>
      <x:c r="F69" s="254"/>
      <x:c r="G69" s="254"/>
      <x:c r="H69" s="254"/>
      <x:c r="I69" s="254"/>
      <x:c r="J69" s="254"/>
      <x:c r="K69" s="254"/>
    </x:row>
    <x:row r="70">
      <x:c r="A70" s="254"/>
      <x:c r="B70" s="254"/>
      <x:c r="C70" s="254"/>
      <x:c r="D70" s="254"/>
      <x:c r="E70" s="254"/>
      <x:c r="F70" s="254"/>
      <x:c r="G70" s="254"/>
      <x:c r="H70" s="254"/>
      <x:c r="I70" s="254"/>
      <x:c r="J70" s="254"/>
      <x:c r="K70" s="254"/>
    </x:row>
    <x:row r="71">
      <x:c r="A71" s="254"/>
      <x:c r="B71" s="254"/>
      <x:c r="C71" s="254"/>
      <x:c r="D71" s="254"/>
      <x:c r="E71" s="254"/>
      <x:c r="F71" s="254"/>
      <x:c r="G71" s="254"/>
      <x:c r="H71" s="254"/>
      <x:c r="I71" s="254"/>
      <x:c r="J71" s="254"/>
      <x:c r="K71" s="254"/>
    </x:row>
    <x:row r="72">
      <x:c r="A72" s="254"/>
      <x:c r="B72" s="254"/>
      <x:c r="C72" s="254"/>
      <x:c r="D72" s="254"/>
      <x:c r="E72" s="254"/>
      <x:c r="F72" s="254"/>
      <x:c r="G72" s="254"/>
      <x:c r="H72" s="254"/>
      <x:c r="I72" s="254"/>
      <x:c r="J72" s="254"/>
      <x:c r="K72" s="254"/>
    </x:row>
    <x:row r="73">
      <x:c r="A73" s="254"/>
      <x:c r="B73" s="254"/>
      <x:c r="C73" s="254"/>
      <x:c r="D73" s="254"/>
      <x:c r="E73" s="254"/>
      <x:c r="F73" s="254"/>
      <x:c r="G73" s="254"/>
      <x:c r="H73" s="254"/>
      <x:c r="I73" s="254"/>
      <x:c r="J73" s="254"/>
      <x:c r="K73" s="254"/>
    </x:row>
    <x:row r="74">
      <x:c r="A74" s="254"/>
      <x:c r="B74" s="254"/>
      <x:c r="C74" s="254"/>
      <x:c r="D74" s="254"/>
      <x:c r="E74" s="254"/>
      <x:c r="F74" s="254"/>
      <x:c r="G74" s="254"/>
      <x:c r="H74" s="254"/>
      <x:c r="I74" s="254"/>
      <x:c r="J74" s="254"/>
      <x:c r="K74" s="254"/>
    </x:row>
    <x:row r="75">
      <x:c r="A75" s="254"/>
      <x:c r="B75" s="254"/>
      <x:c r="C75" s="254"/>
      <x:c r="D75" s="254"/>
      <x:c r="E75" s="254"/>
      <x:c r="F75" s="254"/>
      <x:c r="G75" s="254"/>
      <x:c r="H75" s="254"/>
      <x:c r="I75" s="254"/>
      <x:c r="J75" s="254"/>
      <x:c r="K75" s="254"/>
    </x:row>
    <x:row r="76">
      <x:c r="A76" s="254"/>
      <x:c r="B76" s="254"/>
      <x:c r="C76" s="254"/>
      <x:c r="D76" s="254"/>
      <x:c r="E76" s="254"/>
      <x:c r="F76" s="254"/>
      <x:c r="G76" s="254"/>
      <x:c r="H76" s="254"/>
      <x:c r="I76" s="254"/>
      <x:c r="J76" s="254"/>
      <x:c r="K76" s="254"/>
    </x:row>
    <x:row r="77">
      <x:c r="A77" s="254"/>
      <x:c r="B77" s="254"/>
      <x:c r="C77" s="254"/>
      <x:c r="D77" s="254"/>
      <x:c r="E77" s="254"/>
      <x:c r="F77" s="254"/>
      <x:c r="G77" s="254"/>
      <x:c r="H77" s="254"/>
      <x:c r="I77" s="254"/>
      <x:c r="J77" s="254"/>
      <x:c r="K77" s="254"/>
    </x:row>
    <x:row r="78">
      <x:c r="A78" s="254"/>
      <x:c r="B78" s="254"/>
      <x:c r="C78" s="254"/>
      <x:c r="D78" s="254"/>
      <x:c r="E78" s="254"/>
      <x:c r="F78" s="254"/>
      <x:c r="G78" s="254"/>
      <x:c r="H78" s="254"/>
      <x:c r="I78" s="254"/>
      <x:c r="J78" s="254"/>
      <x:c r="K78" s="254"/>
    </x:row>
    <x:row r="79">
      <x:c r="A79" s="254"/>
      <x:c r="B79" s="254"/>
      <x:c r="C79" s="254"/>
      <x:c r="D79" s="254"/>
      <x:c r="E79" s="254"/>
      <x:c r="F79" s="254"/>
      <x:c r="G79" s="254"/>
      <x:c r="H79" s="254"/>
      <x:c r="I79" s="254"/>
      <x:c r="J79" s="254"/>
      <x:c r="K79" s="254"/>
    </x:row>
    <x:row r="80">
      <x:c r="A80" s="254"/>
      <x:c r="B80" s="254"/>
      <x:c r="C80" s="254"/>
      <x:c r="D80" s="254"/>
      <x:c r="E80" s="254"/>
      <x:c r="F80" s="254"/>
      <x:c r="G80" s="254"/>
      <x:c r="H80" s="254"/>
      <x:c r="I80" s="254"/>
      <x:c r="J80" s="254"/>
      <x:c r="K80" s="254"/>
    </x:row>
    <x:row r="81">
      <x:c r="A81" s="254"/>
      <x:c r="B81" s="254"/>
      <x:c r="C81" s="254"/>
      <x:c r="D81" s="254"/>
      <x:c r="E81" s="254"/>
      <x:c r="F81" s="254"/>
      <x:c r="G81" s="254"/>
      <x:c r="H81" s="254"/>
      <x:c r="I81" s="254"/>
      <x:c r="J81" s="254"/>
      <x:c r="K81" s="254"/>
    </x:row>
    <x:row r="82">
      <x:c r="A82" s="254"/>
      <x:c r="B82" s="254"/>
      <x:c r="C82" s="254"/>
      <x:c r="D82" s="254"/>
      <x:c r="E82" s="254"/>
      <x:c r="F82" s="254"/>
      <x:c r="G82" s="254"/>
      <x:c r="H82" s="254"/>
      <x:c r="I82" s="254"/>
      <x:c r="J82" s="254"/>
      <x:c r="K82" s="254"/>
    </x:row>
    <x:row r="83">
      <x:c r="A83" s="254"/>
      <x:c r="B83" s="254"/>
      <x:c r="C83" s="254"/>
      <x:c r="D83" s="254"/>
      <x:c r="E83" s="254"/>
      <x:c r="F83" s="254"/>
      <x:c r="G83" s="254"/>
      <x:c r="H83" s="254"/>
      <x:c r="I83" s="254"/>
      <x:c r="J83" s="254"/>
      <x:c r="K83" s="254"/>
    </x:row>
    <x:row r="84">
      <x:c r="A84" s="254"/>
      <x:c r="B84" s="254"/>
      <x:c r="C84" s="254"/>
      <x:c r="D84" s="254"/>
      <x:c r="E84" s="254"/>
      <x:c r="F84" s="254"/>
      <x:c r="G84" s="254"/>
      <x:c r="H84" s="254"/>
      <x:c r="I84" s="254"/>
      <x:c r="J84" s="254"/>
      <x:c r="K84" s="254"/>
    </x:row>
    <x:row r="85">
      <x:c r="A85" s="254"/>
      <x:c r="B85" s="254"/>
      <x:c r="C85" s="254"/>
      <x:c r="D85" s="254"/>
      <x:c r="E85" s="254"/>
      <x:c r="F85" s="254"/>
      <x:c r="G85" s="254"/>
      <x:c r="H85" s="254"/>
      <x:c r="I85" s="254"/>
      <x:c r="J85" s="254"/>
      <x:c r="K85" s="254"/>
    </x:row>
    <x:row r="86">
      <x:c r="A86" s="254"/>
      <x:c r="B86" s="254"/>
      <x:c r="C86" s="254"/>
      <x:c r="D86" s="254"/>
      <x:c r="E86" s="254"/>
      <x:c r="F86" s="254"/>
      <x:c r="G86" s="254"/>
      <x:c r="H86" s="254"/>
      <x:c r="I86" s="254"/>
      <x:c r="J86" s="254"/>
      <x:c r="K86" s="254"/>
    </x:row>
    <x:row r="87">
      <x:c r="A87" s="254"/>
      <x:c r="B87" s="254"/>
      <x:c r="C87" s="254"/>
      <x:c r="D87" s="254"/>
      <x:c r="E87" s="254"/>
      <x:c r="F87" s="254"/>
      <x:c r="G87" s="254"/>
      <x:c r="H87" s="254"/>
      <x:c r="I87" s="254"/>
      <x:c r="J87" s="254"/>
      <x:c r="K87" s="254"/>
    </x:row>
    <x:row r="88">
      <x:c r="A88" s="254"/>
      <x:c r="B88" s="254"/>
      <x:c r="C88" s="254"/>
      <x:c r="D88" s="254"/>
      <x:c r="E88" s="254"/>
      <x:c r="F88" s="254"/>
      <x:c r="G88" s="254"/>
      <x:c r="H88" s="254"/>
      <x:c r="I88" s="254"/>
      <x:c r="J88" s="254"/>
      <x:c r="K88" s="254"/>
    </x:row>
    <x:row r="89">
      <x:c r="A89" s="254"/>
      <x:c r="B89" s="254"/>
      <x:c r="C89" s="254"/>
      <x:c r="D89" s="254"/>
      <x:c r="E89" s="254"/>
      <x:c r="F89" s="254"/>
      <x:c r="G89" s="254"/>
      <x:c r="H89" s="254"/>
      <x:c r="I89" s="254"/>
      <x:c r="J89" s="254"/>
      <x:c r="K89" s="254"/>
    </x:row>
    <x:row r="90">
      <x:c r="A90" s="254"/>
      <x:c r="B90" s="254"/>
      <x:c r="C90" s="254"/>
      <x:c r="D90" s="254"/>
      <x:c r="E90" s="254"/>
      <x:c r="F90" s="254"/>
      <x:c r="G90" s="254"/>
      <x:c r="H90" s="254"/>
      <x:c r="I90" s="254"/>
      <x:c r="J90" s="254"/>
      <x:c r="K90" s="254"/>
    </x:row>
    <x:row r="91">
      <x:c r="A91" s="254"/>
      <x:c r="B91" s="254"/>
      <x:c r="C91" s="254"/>
      <x:c r="D91" s="254"/>
      <x:c r="E91" s="254"/>
      <x:c r="F91" s="254"/>
      <x:c r="G91" s="254"/>
      <x:c r="H91" s="254"/>
      <x:c r="I91" s="254"/>
      <x:c r="J91" s="254"/>
      <x:c r="K91" s="254"/>
    </x:row>
    <x:row r="92">
      <x:c r="A92" s="254"/>
      <x:c r="B92" s="254"/>
      <x:c r="C92" s="254"/>
      <x:c r="D92" s="254"/>
      <x:c r="E92" s="254"/>
      <x:c r="F92" s="254"/>
      <x:c r="G92" s="254"/>
      <x:c r="H92" s="254"/>
      <x:c r="I92" s="254"/>
      <x:c r="J92" s="254"/>
      <x:c r="K92" s="254"/>
    </x:row>
    <x:row r="93">
      <x:c r="A93" s="254"/>
      <x:c r="B93" s="254"/>
      <x:c r="C93" s="254"/>
      <x:c r="D93" s="254"/>
      <x:c r="E93" s="254"/>
      <x:c r="F93" s="254"/>
      <x:c r="G93" s="254"/>
      <x:c r="H93" s="254"/>
      <x:c r="I93" s="254"/>
      <x:c r="J93" s="254"/>
      <x:c r="K93" s="254"/>
    </x:row>
    <x:row r="94">
      <x:c r="A94" s="254"/>
      <x:c r="B94" s="254"/>
      <x:c r="C94" s="254"/>
      <x:c r="D94" s="254"/>
      <x:c r="E94" s="254"/>
      <x:c r="F94" s="254"/>
      <x:c r="G94" s="254"/>
      <x:c r="H94" s="254"/>
      <x:c r="I94" s="254"/>
      <x:c r="J94" s="254"/>
      <x:c r="K94" s="254"/>
    </x:row>
    <x:row r="95">
      <x:c r="A95" s="254"/>
      <x:c r="B95" s="254"/>
      <x:c r="C95" s="254"/>
      <x:c r="D95" s="254"/>
      <x:c r="E95" s="254"/>
      <x:c r="F95" s="254"/>
      <x:c r="G95" s="254"/>
      <x:c r="H95" s="254"/>
      <x:c r="I95" s="254"/>
      <x:c r="J95" s="254"/>
      <x:c r="K95" s="254"/>
    </x:row>
    <x:row r="96">
      <x:c r="A96" s="254"/>
      <x:c r="B96" s="254"/>
      <x:c r="C96" s="254"/>
      <x:c r="D96" s="254"/>
      <x:c r="E96" s="254"/>
      <x:c r="F96" s="254"/>
      <x:c r="G96" s="254"/>
      <x:c r="H96" s="254"/>
      <x:c r="I96" s="254"/>
      <x:c r="J96" s="254"/>
      <x:c r="K96" s="254"/>
    </x:row>
    <x:row r="97">
      <x:c r="A97" s="254"/>
      <x:c r="B97" s="254"/>
      <x:c r="C97" s="254"/>
      <x:c r="D97" s="254"/>
      <x:c r="E97" s="254"/>
      <x:c r="F97" s="254"/>
      <x:c r="G97" s="254"/>
      <x:c r="H97" s="254"/>
      <x:c r="I97" s="254"/>
      <x:c r="J97" s="254"/>
      <x:c r="K97" s="254"/>
    </x:row>
    <x:row r="98">
      <x:c r="A98" s="254"/>
      <x:c r="B98" s="254"/>
      <x:c r="C98" s="254"/>
      <x:c r="D98" s="254"/>
      <x:c r="E98" s="254"/>
      <x:c r="F98" s="254"/>
      <x:c r="G98" s="254"/>
      <x:c r="H98" s="254"/>
      <x:c r="I98" s="254"/>
      <x:c r="J98" s="254"/>
      <x:c r="K98" s="254"/>
    </x:row>
    <x:row r="99">
      <x:c r="A99" s="254"/>
      <x:c r="B99" s="254"/>
      <x:c r="C99" s="254"/>
      <x:c r="D99" s="254"/>
      <x:c r="E99" s="254"/>
      <x:c r="F99" s="254"/>
      <x:c r="G99" s="254"/>
      <x:c r="H99" s="254"/>
      <x:c r="I99" s="254"/>
      <x:c r="J99" s="254"/>
      <x:c r="K99" s="254"/>
    </x:row>
    <x:row r="100">
      <x:c r="A100" s="254"/>
      <x:c r="B100" s="254"/>
      <x:c r="C100" s="254"/>
      <x:c r="D100" s="254"/>
      <x:c r="E100" s="254"/>
      <x:c r="F100" s="254"/>
      <x:c r="G100" s="254"/>
      <x:c r="H100" s="254"/>
      <x:c r="I100" s="254"/>
      <x:c r="J100" s="254"/>
      <x:c r="K100" s="254"/>
    </x:row>
    <x:row r="101">
      <x:c r="A101" s="254"/>
      <x:c r="B101" s="254"/>
      <x:c r="C101" s="254"/>
      <x:c r="D101" s="254"/>
      <x:c r="E101" s="254"/>
      <x:c r="F101" s="254"/>
      <x:c r="G101" s="254"/>
      <x:c r="H101" s="254"/>
      <x:c r="I101" s="254"/>
      <x:c r="J101" s="254"/>
      <x:c r="K101" s="254"/>
    </x:row>
    <x:row r="102">
      <x:c r="A102" s="254"/>
      <x:c r="B102" s="254"/>
      <x:c r="C102" s="254"/>
      <x:c r="D102" s="254"/>
      <x:c r="E102" s="254"/>
      <x:c r="F102" s="254"/>
      <x:c r="G102" s="254"/>
      <x:c r="H102" s="254"/>
      <x:c r="I102" s="254"/>
      <x:c r="J102" s="254"/>
      <x:c r="K102" s="254"/>
    </x:row>
    <x:row r="103">
      <x:c r="A103" s="254"/>
      <x:c r="B103" s="254"/>
      <x:c r="C103" s="254"/>
      <x:c r="D103" s="254"/>
      <x:c r="E103" s="254"/>
      <x:c r="F103" s="254"/>
      <x:c r="G103" s="254"/>
      <x:c r="H103" s="254"/>
      <x:c r="I103" s="254"/>
      <x:c r="J103" s="254"/>
      <x:c r="K103" s="254"/>
    </x:row>
    <x:row r="104">
      <x:c r="A104" s="254"/>
      <x:c r="B104" s="254"/>
      <x:c r="C104" s="254"/>
      <x:c r="D104" s="254"/>
      <x:c r="E104" s="254"/>
      <x:c r="F104" s="254"/>
      <x:c r="G104" s="254"/>
      <x:c r="H104" s="254"/>
      <x:c r="I104" s="254"/>
      <x:c r="J104" s="254"/>
      <x:c r="K104" s="254"/>
    </x:row>
    <x:row r="105">
      <x:c r="A105" s="254"/>
      <x:c r="B105" s="254"/>
      <x:c r="C105" s="254"/>
      <x:c r="D105" s="254"/>
      <x:c r="E105" s="254"/>
      <x:c r="F105" s="254"/>
      <x:c r="G105" s="254"/>
      <x:c r="H105" s="254"/>
      <x:c r="I105" s="254"/>
      <x:c r="J105" s="254"/>
      <x:c r="K105" s="254"/>
    </x:row>
    <x:row r="106">
      <x:c r="A106" s="254"/>
      <x:c r="B106" s="254"/>
      <x:c r="C106" s="254"/>
      <x:c r="D106" s="254"/>
      <x:c r="E106" s="254"/>
      <x:c r="F106" s="254"/>
      <x:c r="G106" s="254"/>
      <x:c r="H106" s="254"/>
      <x:c r="I106" s="254"/>
      <x:c r="J106" s="254"/>
      <x:c r="K106" s="254"/>
    </x:row>
    <x:row r="107">
      <x:c r="A107" s="254"/>
      <x:c r="B107" s="254"/>
      <x:c r="C107" s="254"/>
      <x:c r="D107" s="254"/>
      <x:c r="E107" s="254"/>
      <x:c r="F107" s="254"/>
      <x:c r="G107" s="254"/>
      <x:c r="H107" s="254"/>
      <x:c r="I107" s="254"/>
      <x:c r="J107" s="254"/>
      <x:c r="K107" s="254"/>
    </x:row>
    <x:row r="108">
      <x:c r="A108" s="254"/>
      <x:c r="B108" s="254"/>
      <x:c r="C108" s="254"/>
      <x:c r="D108" s="254"/>
      <x:c r="E108" s="254"/>
      <x:c r="F108" s="254"/>
      <x:c r="G108" s="254"/>
      <x:c r="H108" s="254"/>
      <x:c r="I108" s="254"/>
      <x:c r="J108" s="254"/>
      <x:c r="K108" s="254"/>
    </x:row>
    <x:row r="109">
      <x:c r="A109" s="254"/>
      <x:c r="B109" s="254"/>
      <x:c r="C109" s="254"/>
      <x:c r="D109" s="254"/>
      <x:c r="E109" s="254"/>
      <x:c r="F109" s="254"/>
      <x:c r="G109" s="254"/>
      <x:c r="H109" s="254"/>
      <x:c r="I109" s="254"/>
      <x:c r="J109" s="254"/>
      <x:c r="K109" s="254"/>
    </x:row>
    <x:row r="110">
      <x:c r="A110" s="254"/>
      <x:c r="B110" s="254"/>
      <x:c r="C110" s="254"/>
      <x:c r="D110" s="254"/>
      <x:c r="E110" s="254"/>
      <x:c r="F110" s="254"/>
      <x:c r="G110" s="254"/>
      <x:c r="H110" s="254"/>
      <x:c r="I110" s="254"/>
      <x:c r="J110" s="254"/>
      <x:c r="K110" s="254"/>
    </x:row>
    <x:row r="111">
      <x:c r="A111" s="254"/>
      <x:c r="B111" s="254"/>
      <x:c r="C111" s="254"/>
      <x:c r="D111" s="254"/>
      <x:c r="E111" s="254"/>
      <x:c r="F111" s="254"/>
      <x:c r="G111" s="254"/>
      <x:c r="H111" s="254"/>
      <x:c r="I111" s="254"/>
      <x:c r="J111" s="254"/>
      <x:c r="K111" s="254"/>
    </x:row>
    <x:row r="112">
      <x:c r="A112" s="254"/>
      <x:c r="B112" s="254"/>
      <x:c r="C112" s="254"/>
      <x:c r="D112" s="254"/>
      <x:c r="E112" s="254"/>
      <x:c r="F112" s="254"/>
      <x:c r="G112" s="254"/>
      <x:c r="H112" s="254"/>
      <x:c r="I112" s="254"/>
      <x:c r="J112" s="254"/>
      <x:c r="K112" s="254"/>
    </x:row>
    <x:row r="113">
      <x:c r="A113" s="254"/>
      <x:c r="B113" s="254"/>
      <x:c r="C113" s="254"/>
      <x:c r="D113" s="254"/>
      <x:c r="E113" s="254"/>
      <x:c r="F113" s="254"/>
      <x:c r="G113" s="254"/>
      <x:c r="H113" s="254"/>
      <x:c r="I113" s="254"/>
      <x:c r="J113" s="254"/>
      <x:c r="K113" s="254"/>
    </x:row>
    <x:row r="114">
      <x:c r="A114" s="254"/>
      <x:c r="B114" s="254"/>
      <x:c r="C114" s="254"/>
      <x:c r="D114" s="254"/>
      <x:c r="E114" s="254"/>
      <x:c r="F114" s="254"/>
      <x:c r="G114" s="254"/>
      <x:c r="H114" s="254"/>
      <x:c r="I114" s="254"/>
      <x:c r="J114" s="254"/>
      <x:c r="K114" s="254"/>
    </x:row>
    <x:row r="115">
      <x:c r="A115" s="254"/>
      <x:c r="B115" s="254"/>
      <x:c r="C115" s="254"/>
      <x:c r="D115" s="254"/>
      <x:c r="E115" s="254"/>
      <x:c r="F115" s="254"/>
      <x:c r="G115" s="254"/>
      <x:c r="H115" s="254"/>
      <x:c r="I115" s="254"/>
      <x:c r="J115" s="254"/>
      <x:c r="K115" s="254"/>
    </x:row>
    <x:row r="116">
      <x:c r="A116" s="254"/>
      <x:c r="B116" s="254"/>
      <x:c r="C116" s="254"/>
      <x:c r="D116" s="254"/>
      <x:c r="E116" s="254"/>
      <x:c r="F116" s="254"/>
      <x:c r="G116" s="254"/>
      <x:c r="H116" s="254"/>
      <x:c r="I116" s="254"/>
      <x:c r="J116" s="254"/>
      <x:c r="K116" s="254"/>
    </x:row>
    <x:row r="117">
      <x:c r="A117" s="254"/>
      <x:c r="B117" s="254"/>
      <x:c r="C117" s="254"/>
      <x:c r="D117" s="254"/>
      <x:c r="E117" s="254"/>
      <x:c r="F117" s="254"/>
      <x:c r="G117" s="254"/>
      <x:c r="H117" s="254"/>
      <x:c r="I117" s="254"/>
      <x:c r="J117" s="254"/>
      <x:c r="K117" s="254"/>
    </x:row>
    <x:row r="118">
      <x:c r="A118" s="254"/>
      <x:c r="B118" s="254"/>
      <x:c r="C118" s="254"/>
      <x:c r="D118" s="254"/>
      <x:c r="E118" s="254"/>
      <x:c r="F118" s="254"/>
      <x:c r="G118" s="254"/>
      <x:c r="H118" s="254"/>
      <x:c r="I118" s="254"/>
      <x:c r="J118" s="254"/>
      <x:c r="K118" s="254"/>
    </x:row>
    <x:row r="119">
      <x:c r="A119" s="254"/>
      <x:c r="B119" s="254"/>
      <x:c r="C119" s="254"/>
      <x:c r="D119" s="254"/>
      <x:c r="E119" s="254"/>
      <x:c r="F119" s="254"/>
      <x:c r="G119" s="254"/>
      <x:c r="H119" s="254"/>
      <x:c r="I119" s="254"/>
      <x:c r="J119" s="254"/>
      <x:c r="K119" s="254"/>
    </x:row>
    <x:row r="120">
      <x:c r="A120" s="254"/>
      <x:c r="B120" s="254"/>
      <x:c r="C120" s="254"/>
      <x:c r="D120" s="254"/>
      <x:c r="E120" s="254"/>
      <x:c r="F120" s="254"/>
      <x:c r="G120" s="254"/>
      <x:c r="H120" s="254"/>
      <x:c r="I120" s="254"/>
      <x:c r="J120" s="254"/>
      <x:c r="K120" s="254"/>
    </x:row>
    <x:row r="121">
      <x:c r="A121" s="254"/>
      <x:c r="B121" s="254"/>
      <x:c r="C121" s="254"/>
      <x:c r="D121" s="254"/>
      <x:c r="E121" s="254"/>
      <x:c r="F121" s="254"/>
      <x:c r="G121" s="254"/>
      <x:c r="H121" s="254"/>
      <x:c r="I121" s="254"/>
      <x:c r="J121" s="254"/>
      <x:c r="K121" s="254"/>
    </x:row>
    <x:row r="122">
      <x:c r="A122" s="254"/>
      <x:c r="B122" s="254"/>
      <x:c r="C122" s="254"/>
      <x:c r="D122" s="254"/>
      <x:c r="E122" s="254"/>
      <x:c r="F122" s="254"/>
      <x:c r="G122" s="254"/>
      <x:c r="H122" s="254"/>
      <x:c r="I122" s="254"/>
      <x:c r="J122" s="254"/>
      <x:c r="K122" s="254"/>
    </x:row>
    <x:row r="123">
      <x:c r="A123" s="254"/>
      <x:c r="B123" s="254"/>
      <x:c r="C123" s="254"/>
      <x:c r="D123" s="254"/>
      <x:c r="E123" s="254"/>
      <x:c r="F123" s="254"/>
      <x:c r="G123" s="254"/>
      <x:c r="H123" s="254"/>
      <x:c r="I123" s="254"/>
      <x:c r="J123" s="254"/>
      <x:c r="K123" s="254"/>
    </x:row>
    <x:row r="124">
      <x:c r="A124" s="254"/>
      <x:c r="B124" s="254"/>
      <x:c r="C124" s="254"/>
      <x:c r="D124" s="254"/>
      <x:c r="E124" s="254"/>
      <x:c r="F124" s="254"/>
      <x:c r="G124" s="254"/>
      <x:c r="H124" s="254"/>
      <x:c r="I124" s="254"/>
      <x:c r="J124" s="254"/>
      <x:c r="K124" s="254"/>
    </x:row>
    <x:row r="125">
      <x:c r="A125" s="254"/>
      <x:c r="B125" s="254"/>
      <x:c r="C125" s="254"/>
      <x:c r="D125" s="254"/>
      <x:c r="E125" s="254"/>
      <x:c r="F125" s="254"/>
      <x:c r="G125" s="254"/>
      <x:c r="H125" s="254"/>
      <x:c r="I125" s="254"/>
      <x:c r="J125" s="254"/>
      <x:c r="K125" s="254"/>
    </x:row>
    <x:row r="126">
      <x:c r="A126" s="254"/>
      <x:c r="B126" s="254"/>
      <x:c r="C126" s="254"/>
      <x:c r="D126" s="254"/>
      <x:c r="E126" s="254"/>
      <x:c r="F126" s="254"/>
      <x:c r="G126" s="254"/>
      <x:c r="H126" s="254"/>
      <x:c r="I126" s="254"/>
      <x:c r="J126" s="254"/>
      <x:c r="K126" s="254"/>
    </x:row>
    <x:row r="127">
      <x:c r="A127" s="254"/>
      <x:c r="B127" s="254"/>
      <x:c r="C127" s="254"/>
      <x:c r="D127" s="254"/>
      <x:c r="E127" s="254"/>
      <x:c r="F127" s="254"/>
      <x:c r="G127" s="254"/>
      <x:c r="H127" s="254"/>
      <x:c r="I127" s="254"/>
      <x:c r="J127" s="254"/>
      <x:c r="K127" s="254"/>
    </x:row>
    <x:row r="128">
      <x:c r="A128" s="254"/>
      <x:c r="B128" s="254"/>
      <x:c r="C128" s="254"/>
      <x:c r="D128" s="254"/>
      <x:c r="E128" s="254"/>
      <x:c r="F128" s="254"/>
      <x:c r="G128" s="254"/>
      <x:c r="H128" s="254"/>
      <x:c r="I128" s="254"/>
      <x:c r="J128" s="254"/>
      <x:c r="K128" s="254"/>
    </x:row>
    <x:row r="129">
      <x:c r="A129" s="254"/>
      <x:c r="B129" s="254"/>
      <x:c r="C129" s="254"/>
      <x:c r="D129" s="254"/>
      <x:c r="E129" s="254"/>
      <x:c r="F129" s="254"/>
      <x:c r="G129" s="254"/>
      <x:c r="H129" s="254"/>
      <x:c r="I129" s="254"/>
      <x:c r="J129" s="254"/>
      <x:c r="K129" s="254"/>
    </x:row>
    <x:row r="130">
      <x:c r="A130" s="254"/>
      <x:c r="B130" s="254"/>
      <x:c r="C130" s="254"/>
      <x:c r="D130" s="254"/>
      <x:c r="E130" s="254"/>
      <x:c r="F130" s="254"/>
      <x:c r="G130" s="254"/>
      <x:c r="H130" s="254"/>
      <x:c r="I130" s="254"/>
      <x:c r="J130" s="254"/>
      <x:c r="K130" s="254"/>
    </x:row>
    <x:row r="131">
      <x:c r="A131" s="254"/>
      <x:c r="B131" s="254"/>
      <x:c r="C131" s="254"/>
      <x:c r="D131" s="254"/>
      <x:c r="E131" s="254"/>
      <x:c r="F131" s="254"/>
      <x:c r="G131" s="254"/>
      <x:c r="H131" s="254"/>
      <x:c r="I131" s="254"/>
      <x:c r="J131" s="254"/>
      <x:c r="K131" s="254"/>
    </x:row>
    <x:row r="132">
      <x:c r="A132" s="254"/>
      <x:c r="B132" s="254"/>
      <x:c r="C132" s="254"/>
      <x:c r="D132" s="254"/>
      <x:c r="E132" s="254"/>
      <x:c r="F132" s="254"/>
      <x:c r="G132" s="254"/>
      <x:c r="H132" s="254"/>
      <x:c r="I132" s="254"/>
      <x:c r="J132" s="254"/>
      <x:c r="K132" s="254"/>
    </x:row>
    <x:row r="133">
      <x:c r="A133" s="254"/>
      <x:c r="B133" s="254"/>
      <x:c r="C133" s="254"/>
      <x:c r="D133" s="254"/>
      <x:c r="E133" s="254"/>
      <x:c r="F133" s="254"/>
      <x:c r="G133" s="254"/>
      <x:c r="H133" s="254"/>
      <x:c r="I133" s="254"/>
      <x:c r="J133" s="254"/>
      <x:c r="K133" s="254"/>
    </x:row>
    <x:row r="134">
      <x:c r="A134" s="254"/>
      <x:c r="B134" s="254"/>
      <x:c r="C134" s="254"/>
      <x:c r="D134" s="254"/>
      <x:c r="E134" s="254"/>
      <x:c r="F134" s="254"/>
      <x:c r="G134" s="254"/>
      <x:c r="H134" s="254"/>
      <x:c r="I134" s="254"/>
      <x:c r="J134" s="254"/>
      <x:c r="K134" s="254"/>
    </x:row>
    <x:row r="135">
      <x:c r="A135" s="254"/>
      <x:c r="B135" s="254"/>
      <x:c r="C135" s="254"/>
      <x:c r="D135" s="254"/>
      <x:c r="E135" s="254"/>
      <x:c r="F135" s="254"/>
      <x:c r="G135" s="254"/>
      <x:c r="H135" s="254"/>
      <x:c r="I135" s="254"/>
      <x:c r="J135" s="254"/>
      <x:c r="K135" s="254"/>
    </x:row>
    <x:row r="136">
      <x:c r="A136" s="254"/>
      <x:c r="B136" s="254"/>
      <x:c r="C136" s="254"/>
      <x:c r="D136" s="254"/>
      <x:c r="E136" s="254"/>
      <x:c r="F136" s="254"/>
      <x:c r="G136" s="254"/>
      <x:c r="H136" s="254"/>
      <x:c r="I136" s="254"/>
      <x:c r="J136" s="254"/>
      <x:c r="K136" s="254"/>
    </x:row>
    <x:row r="137">
      <x:c r="A137" s="254"/>
      <x:c r="B137" s="254"/>
      <x:c r="C137" s="254"/>
      <x:c r="D137" s="254"/>
      <x:c r="E137" s="254"/>
      <x:c r="F137" s="254"/>
      <x:c r="G137" s="254"/>
      <x:c r="H137" s="254"/>
      <x:c r="I137" s="254"/>
      <x:c r="J137" s="254"/>
      <x:c r="K137" s="254"/>
    </x:row>
    <x:row r="138">
      <x:c r="A138" s="254"/>
      <x:c r="B138" s="254"/>
      <x:c r="C138" s="254"/>
      <x:c r="D138" s="254"/>
      <x:c r="E138" s="254"/>
      <x:c r="F138" s="254"/>
      <x:c r="G138" s="254"/>
      <x:c r="H138" s="254"/>
      <x:c r="I138" s="254"/>
      <x:c r="J138" s="254"/>
      <x:c r="K138" s="254"/>
    </x:row>
    <x:row r="139">
      <x:c r="A139" s="254"/>
      <x:c r="B139" s="254"/>
      <x:c r="C139" s="254"/>
      <x:c r="D139" s="254"/>
      <x:c r="E139" s="254"/>
      <x:c r="F139" s="254"/>
      <x:c r="G139" s="254"/>
      <x:c r="H139" s="254"/>
      <x:c r="I139" s="254"/>
      <x:c r="J139" s="254"/>
      <x:c r="K139" s="254"/>
    </x:row>
    <x:row r="140">
      <x:c r="A140" s="254"/>
      <x:c r="B140" s="254"/>
      <x:c r="C140" s="254"/>
      <x:c r="D140" s="254"/>
      <x:c r="E140" s="254"/>
      <x:c r="F140" s="254"/>
      <x:c r="G140" s="254"/>
      <x:c r="H140" s="254"/>
      <x:c r="I140" s="254"/>
      <x:c r="J140" s="254"/>
      <x:c r="K140" s="254"/>
    </x:row>
    <x:row r="141">
      <x:c r="A141" s="254"/>
      <x:c r="B141" s="254"/>
      <x:c r="C141" s="254"/>
      <x:c r="D141" s="254"/>
      <x:c r="E141" s="254"/>
      <x:c r="F141" s="254"/>
      <x:c r="G141" s="254"/>
      <x:c r="H141" s="254"/>
      <x:c r="I141" s="254"/>
      <x:c r="J141" s="254"/>
      <x:c r="K141" s="254"/>
    </x:row>
    <x:row r="142">
      <x:c r="A142" s="254"/>
      <x:c r="B142" s="254"/>
      <x:c r="C142" s="254"/>
      <x:c r="D142" s="254"/>
      <x:c r="E142" s="254"/>
      <x:c r="F142" s="254"/>
      <x:c r="G142" s="254"/>
      <x:c r="H142" s="254"/>
      <x:c r="I142" s="254"/>
      <x:c r="J142" s="254"/>
      <x:c r="K142" s="254"/>
    </x:row>
    <x:row r="143">
      <x:c r="A143" s="254"/>
      <x:c r="B143" s="254"/>
      <x:c r="C143" s="254"/>
      <x:c r="D143" s="254"/>
      <x:c r="E143" s="254"/>
      <x:c r="F143" s="254"/>
      <x:c r="G143" s="254"/>
      <x:c r="H143" s="254"/>
      <x:c r="I143" s="254"/>
      <x:c r="J143" s="254"/>
      <x:c r="K143" s="254"/>
    </x:row>
    <x:row r="144">
      <x:c r="A144" s="254"/>
      <x:c r="B144" s="254"/>
      <x:c r="C144" s="254"/>
      <x:c r="D144" s="254"/>
      <x:c r="E144" s="254"/>
      <x:c r="F144" s="254"/>
      <x:c r="G144" s="254"/>
      <x:c r="H144" s="254"/>
      <x:c r="I144" s="254"/>
      <x:c r="J144" s="254"/>
      <x:c r="K144" s="254"/>
    </x:row>
    <x:row r="145">
      <x:c r="A145" s="254"/>
      <x:c r="B145" s="254"/>
      <x:c r="C145" s="254"/>
      <x:c r="D145" s="254"/>
      <x:c r="E145" s="254"/>
      <x:c r="F145" s="254"/>
      <x:c r="G145" s="254"/>
      <x:c r="H145" s="254"/>
      <x:c r="I145" s="254"/>
      <x:c r="J145" s="254"/>
      <x:c r="K145" s="254"/>
    </x:row>
    <x:row r="146">
      <x:c r="A146" s="254"/>
      <x:c r="B146" s="254"/>
      <x:c r="C146" s="254"/>
      <x:c r="D146" s="254"/>
      <x:c r="E146" s="254"/>
      <x:c r="F146" s="254"/>
      <x:c r="G146" s="254"/>
      <x:c r="H146" s="254"/>
      <x:c r="I146" s="254"/>
      <x:c r="J146" s="254"/>
      <x:c r="K146" s="254"/>
    </x:row>
    <x:row r="147">
      <x:c r="A147" s="254"/>
      <x:c r="B147" s="254"/>
      <x:c r="C147" s="254"/>
      <x:c r="D147" s="254"/>
      <x:c r="E147" s="254"/>
      <x:c r="F147" s="254"/>
      <x:c r="G147" s="254"/>
      <x:c r="H147" s="254"/>
      <x:c r="I147" s="254"/>
      <x:c r="J147" s="254"/>
      <x:c r="K147" s="254"/>
    </x:row>
    <x:row r="148">
      <x:c r="A148" s="254"/>
      <x:c r="B148" s="254"/>
      <x:c r="C148" s="254"/>
      <x:c r="D148" s="254"/>
      <x:c r="E148" s="254"/>
      <x:c r="F148" s="254"/>
      <x:c r="G148" s="254"/>
      <x:c r="H148" s="254"/>
      <x:c r="I148" s="254"/>
      <x:c r="J148" s="254"/>
      <x:c r="K148" s="254"/>
    </x:row>
    <x:row r="149">
      <x:c r="A149" s="254"/>
      <x:c r="B149" s="254"/>
      <x:c r="C149" s="254"/>
      <x:c r="D149" s="254"/>
      <x:c r="E149" s="254"/>
      <x:c r="F149" s="254"/>
      <x:c r="G149" s="254"/>
      <x:c r="H149" s="254"/>
      <x:c r="I149" s="254"/>
      <x:c r="J149" s="254"/>
      <x:c r="K149" s="254"/>
    </x:row>
    <x:row r="150">
      <x:c r="A150" s="254"/>
      <x:c r="B150" s="254"/>
      <x:c r="C150" s="254"/>
      <x:c r="D150" s="254"/>
      <x:c r="E150" s="254"/>
      <x:c r="F150" s="254"/>
      <x:c r="G150" s="254"/>
      <x:c r="H150" s="254"/>
      <x:c r="I150" s="254"/>
      <x:c r="J150" s="254"/>
      <x:c r="K150" s="254"/>
    </x:row>
  </x:sheetData>
  <x:mergeCells>
    <x:mergeCell ref="A1:H1"/>
    <x:mergeCell ref="A2:H2"/>
    <x:mergeCell ref="A22:I2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5" t="str">
        <x:v>OPERATING &amp; ASSET QUALITY</x:v>
      </x:c>
      <x:c r="B1" s="5"/>
      <x:c r="C1" s="5"/>
      <x:c r="D1" s="5"/>
      <x:c r="E1" s="5"/>
      <x:c r="F1" s="5"/>
      <x:c r="G1" s="5"/>
      <x:c r="H1" s="5"/>
      <x:c r="I1" s="254"/>
      <x:c r="J1" s="254"/>
      <x:c r="K1" s="254"/>
    </x:row>
    <x:row r="2" ht="22" customHeight="1">
      <x:c r="A2" s="13" t="str">
        <x:v>Operating comparison to explain differences in banking valuation</x:v>
      </x:c>
      <x:c r="B2" s="13"/>
      <x:c r="C2" s="13"/>
      <x:c r="D2" s="13"/>
      <x:c r="E2" s="13"/>
      <x:c r="F2" s="13"/>
      <x:c r="G2" s="13"/>
      <x:c r="H2" s="13"/>
      <x:c r="I2" s="254"/>
      <x:c r="J2" s="254"/>
      <x:c r="K2" s="254"/>
    </x:row>
    <x:row r="3">
      <x:c r="A3" s="254"/>
      <x:c r="B3" s="254"/>
      <x:c r="C3" s="254"/>
      <x:c r="D3" s="254"/>
      <x:c r="E3" s="254"/>
      <x:c r="F3" s="254"/>
      <x:c r="G3" s="254"/>
      <x:c r="H3" s="254"/>
      <x:c r="I3" s="254"/>
      <x:c r="J3" s="254"/>
      <x:c r="K3" s="254"/>
    </x:row>
    <x:row r="4" ht="32" customHeight="1">
      <x:c r="A4" s="36" t="str">
        <x:v>Metric</x:v>
      </x:c>
      <x:c r="B4" s="37" t="str">
        <x:v>Axis Bank</x:v>
      </x:c>
      <x:c r="C4" s="37" t="str">
        <x:v>HDFC Bank</x:v>
      </x:c>
      <x:c r="D4" s="37" t="str">
        <x:v>ICICI Bank</x:v>
      </x:c>
      <x:c r="E4" s="37" t="str">
        <x:v>Kotak Mahindra Bank</x:v>
      </x:c>
      <x:c r="F4" s="37" t="str">
        <x:v>Federal Bank</x:v>
      </x:c>
      <x:c r="G4" s="37" t="str">
        <x:v>Peer Median</x:v>
      </x:c>
      <x:c r="H4" s="37" t="str">
        <x:v>Peer Max</x:v>
      </x:c>
      <x:c r="I4" s="38" t="str">
        <x:v>Peer Min</x:v>
      </x:c>
      <x:c r="J4" s="254"/>
      <x:c r="K4" s="254"/>
    </x:row>
    <x:row r="5">
      <x:c r="A5" s="202" t="str">
        <x:v>FY26 ROE (%)</x:v>
      </x:c>
      <x:c r="B5" s="220" t="n">
        <x:f>'Raw Data'!$B$16</x:f>
        <x:v>0.131</x:v>
      </x:c>
      <x:c r="C5" s="220" t="n">
        <x:f>'Raw Data'!$B$42</x:f>
        <x:v>0.14</x:v>
      </x:c>
      <x:c r="D5" s="220" t="n">
        <x:f>'Raw Data'!$B$68</x:f>
        <x:v>0.158</x:v>
      </x:c>
      <x:c r="E5" s="220" t="n">
        <x:f>'Raw Data'!$B$94</x:f>
        <x:v>0.114</x:v>
      </x:c>
      <x:c r="F5" s="220" t="n">
        <x:f>'Raw Data'!$B$120</x:f>
        <x:v>0.114</x:v>
      </x:c>
      <x:c r="G5" s="212" t="n">
        <x:f>MEDIAN(B5:F5)</x:f>
        <x:v>0.131</x:v>
      </x:c>
      <x:c r="H5" s="212" t="n">
        <x:f>MAX(B5:F5)</x:f>
        <x:v>0.158</x:v>
      </x:c>
      <x:c r="I5" s="213" t="n">
        <x:f>MIN(B5:F5)</x:f>
        <x:v>0.114</x:v>
      </x:c>
      <x:c r="J5" s="254"/>
      <x:c r="K5" s="254"/>
    </x:row>
    <x:row r="6">
      <x:c r="A6" s="240" t="str">
        <x:v>Q1 FY27 ROE (%)</x:v>
      </x:c>
      <x:c r="B6" s="241" t="n">
        <x:f>'Raw Data'!$B$17</x:f>
        <x:v>0.1416</x:v>
      </x:c>
      <x:c r="C6" s="241" t="n">
        <x:f>'Raw Data'!$B$43</x:f>
        <x:v>0.138</x:v>
      </x:c>
      <x:c r="D6" s="241" t="n">
        <x:f>'Raw Data'!$B$69</x:f>
        <x:v>0.1714</x:v>
      </x:c>
      <x:c r="E6" s="241" t="n">
        <x:f>'Raw Data'!$B$95</x:f>
        <x:v>0.1198</x:v>
      </x:c>
      <x:c r="F6" s="241" t="n">
        <x:f>'Raw Data'!$B$121</x:f>
        <x:v>0.1201</x:v>
      </x:c>
      <x:c r="G6" s="242" t="n">
        <x:f>MEDIAN(B6:F6)</x:f>
        <x:v>0.138</x:v>
      </x:c>
      <x:c r="H6" s="242" t="n">
        <x:f>MAX(B6:F6)</x:f>
        <x:v>0.1714</x:v>
      </x:c>
      <x:c r="I6" s="243" t="n">
        <x:f>MIN(B6:F6)</x:f>
        <x:v>0.1198</x:v>
      </x:c>
      <x:c r="J6" s="254"/>
      <x:c r="K6" s="254"/>
    </x:row>
    <x:row r="7">
      <x:c r="A7" s="202" t="str">
        <x:v>Q1 FY27 ROA (%)</x:v>
      </x:c>
      <x:c r="B7" s="220" t="n">
        <x:f>'Raw Data'!$B$18</x:f>
        <x:v>0.0151</x:v>
      </x:c>
      <x:c r="C7" s="220" t="n">
        <x:f>'Raw Data'!$B$44</x:f>
        <x:v>0.0185</x:v>
      </x:c>
      <x:c r="D7" s="220" t="n">
        <x:f>'Raw Data'!$B$70</x:f>
        <x:v>0.0249</x:v>
      </x:c>
      <x:c r="E7" s="220" t="n">
        <x:f>'Raw Data'!$B$96</x:f>
        <x:v>0.0214</x:v>
      </x:c>
      <x:c r="F7" s="220" t="n">
        <x:f>'Raw Data'!$B$122</x:f>
        <x:v>0.0122</x:v>
      </x:c>
      <x:c r="G7" s="212" t="n">
        <x:f>MEDIAN(B7:F7)</x:f>
        <x:v>0.0185</x:v>
      </x:c>
      <x:c r="H7" s="212" t="n">
        <x:f>MAX(B7:F7)</x:f>
        <x:v>0.0249</x:v>
      </x:c>
      <x:c r="I7" s="213" t="n">
        <x:f>MIN(B7:F7)</x:f>
        <x:v>0.0122</x:v>
      </x:c>
      <x:c r="J7" s="254"/>
      <x:c r="K7" s="254"/>
    </x:row>
    <x:row r="8">
      <x:c r="A8" s="240" t="str">
        <x:v>Q1 FY27 NIM (%)</x:v>
      </x:c>
      <x:c r="B8" s="241" t="n">
        <x:f>'Raw Data'!$B$19</x:f>
        <x:v>0.0346</x:v>
      </x:c>
      <x:c r="C8" s="241" t="n">
        <x:f>'Raw Data'!$B$45</x:f>
        <x:v>0.034</x:v>
      </x:c>
      <x:c r="D8" s="241" t="n">
        <x:f>'Raw Data'!$B$71</x:f>
        <x:v>0.0436</x:v>
      </x:c>
      <x:c r="E8" s="241" t="n">
        <x:f>'Raw Data'!$B$97</x:f>
        <x:v>0.0453</x:v>
      </x:c>
      <x:c r="F8" s="241" t="n">
        <x:f>'Raw Data'!$B$123</x:f>
        <x:v>0.0333</x:v>
      </x:c>
      <x:c r="G8" s="242" t="n">
        <x:f>MEDIAN(B8:F8)</x:f>
        <x:v>0.0346</x:v>
      </x:c>
      <x:c r="H8" s="242" t="n">
        <x:f>MAX(B8:F8)</x:f>
        <x:v>0.0453</x:v>
      </x:c>
      <x:c r="I8" s="243" t="n">
        <x:f>MIN(B8:F8)</x:f>
        <x:v>0.0333</x:v>
      </x:c>
      <x:c r="J8" s="254"/>
      <x:c r="K8" s="254"/>
    </x:row>
    <x:row r="9">
      <x:c r="A9" s="240" t="str">
        <x:v>Loan Growth YoY (%)</x:v>
      </x:c>
      <x:c r="B9" s="241" t="n">
        <x:f>'Raw Data'!$B$20</x:f>
        <x:v>0.19</x:v>
      </x:c>
      <x:c r="C9" s="241" t="n">
        <x:f>'Raw Data'!$B$46</x:f>
        <x:v>0.154</x:v>
      </x:c>
      <x:c r="D9" s="241" t="n">
        <x:f>'Raw Data'!$B$72</x:f>
        <x:v>0.196</x:v>
      </x:c>
      <x:c r="E9" s="241" t="n">
        <x:f>'Raw Data'!$B$98</x:f>
        <x:v>0.15</x:v>
      </x:c>
      <x:c r="F9" s="241" t="n">
        <x:f>'Raw Data'!$B$124</x:f>
        <x:v>0.15</x:v>
      </x:c>
      <x:c r="G9" s="242" t="n">
        <x:f>MEDIAN(B9:F9)</x:f>
        <x:v>0.154</x:v>
      </x:c>
      <x:c r="H9" s="242" t="n">
        <x:f>MAX(B9:F9)</x:f>
        <x:v>0.196</x:v>
      </x:c>
      <x:c r="I9" s="243" t="n">
        <x:f>MIN(B9:F9)</x:f>
        <x:v>0.15</x:v>
      </x:c>
      <x:c r="J9" s="254"/>
      <x:c r="K9" s="254"/>
    </x:row>
    <x:row r="10">
      <x:c r="A10" s="202" t="str">
        <x:v>Deposit Growth YoY (%)</x:v>
      </x:c>
      <x:c r="B10" s="220" t="n">
        <x:f>'Raw Data'!$B$21</x:f>
        <x:v>0.18</x:v>
      </x:c>
      <x:c r="C10" s="220" t="n">
        <x:f>'Raw Data'!$B$47</x:f>
        <x:v>0.147</x:v>
      </x:c>
      <x:c r="D10" s="220" t="n">
        <x:f>'Raw Data'!$B$73</x:f>
        <x:v>0.14</x:v>
      </x:c>
      <x:c r="E10" s="220" t="n">
        <x:f>'Raw Data'!$B$99</x:f>
        <x:v>0.12</x:v>
      </x:c>
      <x:c r="F10" s="220" t="n">
        <x:f>'Raw Data'!$B$125</x:f>
        <x:v>0.1137</x:v>
      </x:c>
      <x:c r="G10" s="212" t="n">
        <x:f>MEDIAN(B10:F10)</x:f>
        <x:v>0.14</x:v>
      </x:c>
      <x:c r="H10" s="212" t="n">
        <x:f>MAX(B10:F10)</x:f>
        <x:v>0.18</x:v>
      </x:c>
      <x:c r="I10" s="213" t="n">
        <x:f>MIN(B10:F10)</x:f>
        <x:v>0.1137</x:v>
      </x:c>
      <x:c r="J10" s="254"/>
      <x:c r="K10" s="254"/>
    </x:row>
    <x:row r="11">
      <x:c r="A11" s="240" t="str">
        <x:v>GNPA (%)</x:v>
      </x:c>
      <x:c r="B11" s="241" t="n">
        <x:f>'Raw Data'!$B$22</x:f>
        <x:v>0.0128</x:v>
      </x:c>
      <x:c r="C11" s="241" t="n">
        <x:f>'Raw Data'!$B$48</x:f>
        <x:v>0.0117</x:v>
      </x:c>
      <x:c r="D11" s="241" t="n">
        <x:f>'Raw Data'!$B$74</x:f>
        <x:v>0.0138</x:v>
      </x:c>
      <x:c r="E11" s="241" t="n">
        <x:f>'Raw Data'!$B$100</x:f>
        <x:v>0.0118</x:v>
      </x:c>
      <x:c r="F11" s="241" t="n">
        <x:f>'Raw Data'!$B$126</x:f>
        <x:v>0.0152</x:v>
      </x:c>
      <x:c r="G11" s="242" t="n">
        <x:f>MEDIAN(B11:F11)</x:f>
        <x:v>0.0128</x:v>
      </x:c>
      <x:c r="H11" s="242" t="n">
        <x:f>MAX(B11:F11)</x:f>
        <x:v>0.0152</x:v>
      </x:c>
      <x:c r="I11" s="243" t="n">
        <x:f>MIN(B11:F11)</x:f>
        <x:v>0.0117</x:v>
      </x:c>
      <x:c r="J11" s="254"/>
      <x:c r="K11" s="254"/>
    </x:row>
    <x:row r="12">
      <x:c r="A12" s="202" t="str">
        <x:v>NNPA (%)</x:v>
      </x:c>
      <x:c r="B12" s="220" t="n">
        <x:f>'Raw Data'!$B$23</x:f>
        <x:v>0.0039</x:v>
      </x:c>
      <x:c r="C12" s="220" t="n">
        <x:f>'Raw Data'!$B$49</x:f>
        <x:v>0.0041</x:v>
      </x:c>
      <x:c r="D12" s="220" t="n">
        <x:f>'Raw Data'!$B$75</x:f>
        <x:v>0.0035</x:v>
      </x:c>
      <x:c r="E12" s="220" t="n">
        <x:f>'Raw Data'!$B$101</x:f>
        <x:v>0.0027</x:v>
      </x:c>
      <x:c r="F12" s="220" t="n">
        <x:f>'Raw Data'!$B$127</x:f>
        <x:v>0.0018</x:v>
      </x:c>
      <x:c r="G12" s="212" t="n">
        <x:f>MEDIAN(B12:F12)</x:f>
        <x:v>0.0035</x:v>
      </x:c>
      <x:c r="H12" s="212" t="n">
        <x:f>MAX(B12:F12)</x:f>
        <x:v>0.0041</x:v>
      </x:c>
      <x:c r="I12" s="213" t="n">
        <x:f>MIN(B12:F12)</x:f>
        <x:v>0.0018</x:v>
      </x:c>
      <x:c r="J12" s="254"/>
      <x:c r="K12" s="254"/>
    </x:row>
    <x:row r="13">
      <x:c r="A13" s="240" t="str">
        <x:v>CET1 (%)</x:v>
      </x:c>
      <x:c r="B13" s="241" t="n">
        <x:f>'Raw Data'!$B$24</x:f>
        <x:v>0.1464</x:v>
      </x:c>
      <x:c r="C13" s="241" t="n">
        <x:f>'Raw Data'!$B$50</x:f>
        <x:v>0.174</x:v>
      </x:c>
      <x:c r="D13" s="241" t="n">
        <x:f>'Raw Data'!$B$76</x:f>
        <x:v>0.1619</x:v>
      </x:c>
      <x:c r="E13" s="241" t="n">
        <x:f>'Raw Data'!$B$102</x:f>
        <x:v>0.224</x:v>
      </x:c>
      <x:c r="F13" s="241" t="n">
        <x:f>'Raw Data'!$B$128</x:f>
        <x:v>0.1589</x:v>
      </x:c>
      <x:c r="G13" s="242" t="n">
        <x:f>MEDIAN(B13:F13)</x:f>
        <x:v>0.1619</x:v>
      </x:c>
      <x:c r="H13" s="242" t="n">
        <x:f>MAX(B13:F13)</x:f>
        <x:v>0.224</x:v>
      </x:c>
      <x:c r="I13" s="243" t="n">
        <x:f>MIN(B13:F13)</x:f>
        <x:v>0.1464</x:v>
      </x:c>
      <x:c r="J13" s="254"/>
      <x:c r="K13" s="254"/>
    </x:row>
    <x:row r="14">
      <x:c r="A14" s="202" t="str">
        <x:v>CASA (%)</x:v>
      </x:c>
      <x:c r="B14" s="220" t="n">
        <x:f>'Raw Data'!$B$25</x:f>
        <x:v>0.38</x:v>
      </x:c>
      <x:c r="C14" s="220" t="n">
        <x:f>'Raw Data'!$B$51</x:f>
        <x:v>0.323</x:v>
      </x:c>
      <x:c r="D14" s="220" t="n">
        <x:f>'Raw Data'!$B$77</x:f>
        <x:v>0.395</x:v>
      </x:c>
      <x:c r="E14" s="220" t="n">
        <x:f>'Raw Data'!$B$103</x:f>
        <x:v>0.403</x:v>
      </x:c>
      <x:c r="F14" s="220" t="n">
        <x:f>'Raw Data'!$B$129</x:f>
        <x:v>0.3223</x:v>
      </x:c>
      <x:c r="G14" s="212" t="n">
        <x:f>MEDIAN(B14:F14)</x:f>
        <x:v>0.38</x:v>
      </x:c>
      <x:c r="H14" s="212" t="n">
        <x:f>MAX(B14:F14)</x:f>
        <x:v>0.403</x:v>
      </x:c>
      <x:c r="I14" s="213" t="n">
        <x:f>MIN(B14:F14)</x:f>
        <x:v>0.3223</x:v>
      </x:c>
      <x:c r="J14" s="254"/>
      <x:c r="K14" s="254"/>
    </x:row>
    <x:row r="15">
      <x:c r="A15" s="254"/>
      <x:c r="B15" s="254"/>
      <x:c r="C15" s="254"/>
      <x:c r="D15" s="254"/>
      <x:c r="E15" s="254"/>
      <x:c r="F15" s="254"/>
      <x:c r="G15" s="254"/>
      <x:c r="H15" s="254"/>
      <x:c r="I15" s="254"/>
      <x:c r="J15" s="254"/>
      <x:c r="K15" s="254"/>
    </x:row>
    <x:row r="16">
      <x:c r="A16" s="254"/>
      <x:c r="B16" s="254"/>
      <x:c r="C16" s="254"/>
      <x:c r="D16" s="254"/>
      <x:c r="E16" s="254"/>
      <x:c r="F16" s="254"/>
      <x:c r="G16" s="254"/>
      <x:c r="H16" s="254"/>
      <x:c r="I16" s="254"/>
      <x:c r="J16" s="254"/>
      <x:c r="K16" s="254"/>
    </x:row>
    <x:row r="17">
      <x:c r="A17" s="254"/>
      <x:c r="B17" s="254"/>
      <x:c r="C17" s="254"/>
      <x:c r="D17" s="254"/>
      <x:c r="E17" s="254"/>
      <x:c r="F17" s="254"/>
      <x:c r="G17" s="254"/>
      <x:c r="H17" s="254"/>
      <x:c r="I17" s="254"/>
      <x:c r="J17" s="254"/>
      <x:c r="K17" s="254"/>
    </x:row>
    <x:row r="18">
      <x:c r="A18" s="254"/>
      <x:c r="B18" s="254"/>
      <x:c r="C18" s="254"/>
      <x:c r="D18" s="254"/>
      <x:c r="E18" s="254"/>
      <x:c r="F18" s="254"/>
      <x:c r="G18" s="254"/>
      <x:c r="H18" s="254"/>
      <x:c r="I18" s="254"/>
      <x:c r="J18" s="254"/>
      <x:c r="K18" s="254"/>
    </x:row>
    <x:row r="19">
      <x:c r="A19" s="254"/>
      <x:c r="B19" s="254"/>
      <x:c r="C19" s="254"/>
      <x:c r="D19" s="254"/>
      <x:c r="E19" s="254"/>
      <x:c r="F19" s="254"/>
      <x:c r="G19" s="254"/>
      <x:c r="H19" s="254"/>
      <x:c r="I19" s="254"/>
      <x:c r="J19" s="254"/>
      <x:c r="K19" s="254"/>
    </x:row>
    <x:row r="20">
      <x:c r="A20" s="254"/>
      <x:c r="B20" s="254"/>
      <x:c r="C20" s="254"/>
      <x:c r="D20" s="254"/>
      <x:c r="E20" s="254"/>
      <x:c r="F20" s="254"/>
      <x:c r="G20" s="254"/>
      <x:c r="H20" s="254"/>
      <x:c r="I20" s="254"/>
      <x:c r="J20" s="254"/>
      <x:c r="K20" s="254"/>
    </x:row>
    <x:row r="21">
      <x:c r="A21" s="254"/>
      <x:c r="B21" s="254"/>
      <x:c r="C21" s="254"/>
      <x:c r="D21" s="254"/>
      <x:c r="E21" s="254"/>
      <x:c r="F21" s="254"/>
      <x:c r="G21" s="254"/>
      <x:c r="H21" s="254"/>
      <x:c r="I21" s="254"/>
      <x:c r="J21" s="254"/>
      <x:c r="K21" s="254"/>
    </x:row>
    <x:row r="22">
      <x:c r="A22" s="254"/>
      <x:c r="B22" s="254"/>
      <x:c r="C22" s="254"/>
      <x:c r="D22" s="254"/>
      <x:c r="E22" s="254"/>
      <x:c r="F22" s="254"/>
      <x:c r="G22" s="254"/>
      <x:c r="H22" s="254"/>
      <x:c r="I22" s="254"/>
      <x:c r="J22" s="254"/>
      <x:c r="K22" s="254"/>
    </x:row>
    <x:row r="23">
      <x:c r="A23" s="254"/>
      <x:c r="B23" s="254"/>
      <x:c r="C23" s="254"/>
      <x:c r="D23" s="254"/>
      <x:c r="E23" s="254"/>
      <x:c r="F23" s="254"/>
      <x:c r="G23" s="254"/>
      <x:c r="H23" s="254"/>
      <x:c r="I23" s="254"/>
      <x:c r="J23" s="254"/>
      <x:c r="K23" s="254"/>
    </x:row>
    <x:row r="24">
      <x:c r="A24" s="254"/>
      <x:c r="B24" s="254"/>
      <x:c r="C24" s="254"/>
      <x:c r="D24" s="254"/>
      <x:c r="E24" s="254"/>
      <x:c r="F24" s="254"/>
      <x:c r="G24" s="254"/>
      <x:c r="H24" s="254"/>
      <x:c r="I24" s="254"/>
      <x:c r="J24" s="254"/>
      <x:c r="K24" s="254"/>
    </x:row>
    <x:row r="25">
      <x:c r="A25" s="254"/>
      <x:c r="B25" s="254"/>
      <x:c r="C25" s="254"/>
      <x:c r="D25" s="254"/>
      <x:c r="E25" s="254"/>
      <x:c r="F25" s="254"/>
      <x:c r="G25" s="254"/>
      <x:c r="H25" s="254"/>
      <x:c r="I25" s="254"/>
      <x:c r="J25" s="254"/>
      <x:c r="K25" s="254"/>
    </x:row>
    <x:row r="26">
      <x:c r="A26" s="254"/>
      <x:c r="B26" s="254"/>
      <x:c r="C26" s="254"/>
      <x:c r="D26" s="254"/>
      <x:c r="E26" s="254"/>
      <x:c r="F26" s="254"/>
      <x:c r="G26" s="254"/>
      <x:c r="H26" s="254"/>
      <x:c r="I26" s="254"/>
      <x:c r="J26" s="254"/>
      <x:c r="K26" s="254"/>
    </x:row>
    <x:row r="27">
      <x:c r="A27" s="254"/>
      <x:c r="B27" s="254"/>
      <x:c r="C27" s="254"/>
      <x:c r="D27" s="254"/>
      <x:c r="E27" s="254"/>
      <x:c r="F27" s="254"/>
      <x:c r="G27" s="254"/>
      <x:c r="H27" s="254"/>
      <x:c r="I27" s="254"/>
      <x:c r="J27" s="254"/>
      <x:c r="K27" s="254"/>
    </x:row>
    <x:row r="28">
      <x:c r="A28" s="254"/>
      <x:c r="B28" s="254"/>
      <x:c r="C28" s="254"/>
      <x:c r="D28" s="254"/>
      <x:c r="E28" s="254"/>
      <x:c r="F28" s="254"/>
      <x:c r="G28" s="254"/>
      <x:c r="H28" s="254"/>
      <x:c r="I28" s="254"/>
      <x:c r="J28" s="254"/>
      <x:c r="K28" s="254"/>
    </x:row>
    <x:row r="29">
      <x:c r="A29" s="254"/>
      <x:c r="B29" s="254"/>
      <x:c r="C29" s="254"/>
      <x:c r="D29" s="254"/>
      <x:c r="E29" s="254"/>
      <x:c r="F29" s="254"/>
      <x:c r="G29" s="254"/>
      <x:c r="H29" s="254"/>
      <x:c r="I29" s="254"/>
      <x:c r="J29" s="254"/>
      <x:c r="K29" s="254"/>
    </x:row>
    <x:row r="30">
      <x:c r="A30" s="254"/>
      <x:c r="B30" s="254"/>
      <x:c r="C30" s="254"/>
      <x:c r="D30" s="254"/>
      <x:c r="E30" s="254"/>
      <x:c r="F30" s="254"/>
      <x:c r="G30" s="254"/>
      <x:c r="H30" s="254"/>
      <x:c r="I30" s="254"/>
      <x:c r="J30" s="254"/>
      <x:c r="K30" s="254"/>
    </x:row>
    <x:row r="31">
      <x:c r="A31" s="254"/>
      <x:c r="B31" s="254"/>
      <x:c r="C31" s="254"/>
      <x:c r="D31" s="254"/>
      <x:c r="E31" s="254"/>
      <x:c r="F31" s="254"/>
      <x:c r="G31" s="254"/>
      <x:c r="H31" s="254"/>
      <x:c r="I31" s="254"/>
      <x:c r="J31" s="254"/>
      <x:c r="K31" s="254"/>
    </x:row>
    <x:row r="32">
      <x:c r="A32" s="254"/>
      <x:c r="B32" s="254"/>
      <x:c r="C32" s="254"/>
      <x:c r="D32" s="254"/>
      <x:c r="E32" s="254"/>
      <x:c r="F32" s="254"/>
      <x:c r="G32" s="254"/>
      <x:c r="H32" s="254"/>
      <x:c r="I32" s="254"/>
      <x:c r="J32" s="254"/>
      <x:c r="K32" s="254"/>
    </x:row>
    <x:row r="33">
      <x:c r="A33" s="254"/>
      <x:c r="B33" s="254"/>
      <x:c r="C33" s="254"/>
      <x:c r="D33" s="254"/>
      <x:c r="E33" s="254"/>
      <x:c r="F33" s="254"/>
      <x:c r="G33" s="254"/>
      <x:c r="H33" s="254"/>
      <x:c r="I33" s="254"/>
      <x:c r="J33" s="254"/>
      <x:c r="K33" s="254"/>
    </x:row>
    <x:row r="34">
      <x:c r="A34" s="254"/>
      <x:c r="B34" s="254"/>
      <x:c r="C34" s="254"/>
      <x:c r="D34" s="254"/>
      <x:c r="E34" s="254"/>
      <x:c r="F34" s="254"/>
      <x:c r="G34" s="254"/>
      <x:c r="H34" s="254"/>
      <x:c r="I34" s="254"/>
      <x:c r="J34" s="254"/>
      <x:c r="K34" s="254"/>
    </x:row>
    <x:row r="35">
      <x:c r="A35" s="254"/>
      <x:c r="B35" s="254"/>
      <x:c r="C35" s="254"/>
      <x:c r="D35" s="254"/>
      <x:c r="E35" s="254"/>
      <x:c r="F35" s="254"/>
      <x:c r="G35" s="254"/>
      <x:c r="H35" s="254"/>
      <x:c r="I35" s="254"/>
      <x:c r="J35" s="254"/>
      <x:c r="K35" s="254"/>
    </x:row>
    <x:row r="36">
      <x:c r="A36" s="254"/>
      <x:c r="B36" s="254"/>
      <x:c r="C36" s="254"/>
      <x:c r="D36" s="254"/>
      <x:c r="E36" s="254"/>
      <x:c r="F36" s="254"/>
      <x:c r="G36" s="254"/>
      <x:c r="H36" s="254"/>
      <x:c r="I36" s="254"/>
      <x:c r="J36" s="254"/>
      <x:c r="K36" s="254"/>
    </x:row>
    <x:row r="37">
      <x:c r="A37" s="254"/>
      <x:c r="B37" s="254"/>
      <x:c r="C37" s="254"/>
      <x:c r="D37" s="254"/>
      <x:c r="E37" s="254"/>
      <x:c r="F37" s="254"/>
      <x:c r="G37" s="254"/>
      <x:c r="H37" s="254"/>
      <x:c r="I37" s="254"/>
      <x:c r="J37" s="254"/>
      <x:c r="K37" s="254"/>
    </x:row>
    <x:row r="38">
      <x:c r="A38" s="254"/>
      <x:c r="B38" s="254"/>
      <x:c r="C38" s="254"/>
      <x:c r="D38" s="254"/>
      <x:c r="E38" s="254"/>
      <x:c r="F38" s="254"/>
      <x:c r="G38" s="254"/>
      <x:c r="H38" s="254"/>
      <x:c r="I38" s="254"/>
      <x:c r="J38" s="254"/>
      <x:c r="K38" s="254"/>
    </x:row>
    <x:row r="39">
      <x:c r="A39" s="254"/>
      <x:c r="B39" s="254"/>
      <x:c r="C39" s="254"/>
      <x:c r="D39" s="254"/>
      <x:c r="E39" s="254"/>
      <x:c r="F39" s="254"/>
      <x:c r="G39" s="254"/>
      <x:c r="H39" s="254"/>
      <x:c r="I39" s="254"/>
      <x:c r="J39" s="254"/>
      <x:c r="K39" s="254"/>
    </x:row>
    <x:row r="40">
      <x:c r="A40" s="254"/>
      <x:c r="B40" s="254"/>
      <x:c r="C40" s="254"/>
      <x:c r="D40" s="254"/>
      <x:c r="E40" s="254"/>
      <x:c r="F40" s="254"/>
      <x:c r="G40" s="254"/>
      <x:c r="H40" s="254"/>
      <x:c r="I40" s="254"/>
      <x:c r="J40" s="254"/>
      <x:c r="K40" s="254"/>
    </x:row>
    <x:row r="41">
      <x:c r="A41" s="254"/>
      <x:c r="B41" s="254"/>
      <x:c r="C41" s="254"/>
      <x:c r="D41" s="254"/>
      <x:c r="E41" s="254"/>
      <x:c r="F41" s="254"/>
      <x:c r="G41" s="254"/>
      <x:c r="H41" s="254"/>
      <x:c r="I41" s="254"/>
      <x:c r="J41" s="254"/>
      <x:c r="K41" s="254"/>
    </x:row>
    <x:row r="42">
      <x:c r="A42" s="254"/>
      <x:c r="B42" s="254"/>
      <x:c r="C42" s="254"/>
      <x:c r="D42" s="254"/>
      <x:c r="E42" s="254"/>
      <x:c r="F42" s="254"/>
      <x:c r="G42" s="254"/>
      <x:c r="H42" s="254"/>
      <x:c r="I42" s="254"/>
      <x:c r="J42" s="254"/>
      <x:c r="K42" s="254"/>
    </x:row>
    <x:row r="43">
      <x:c r="A43" s="254"/>
      <x:c r="B43" s="254"/>
      <x:c r="C43" s="254"/>
      <x:c r="D43" s="254"/>
      <x:c r="E43" s="254"/>
      <x:c r="F43" s="254"/>
      <x:c r="G43" s="254"/>
      <x:c r="H43" s="254"/>
      <x:c r="I43" s="254"/>
      <x:c r="J43" s="254"/>
      <x:c r="K43" s="254"/>
    </x:row>
    <x:row r="44">
      <x:c r="A44" s="254"/>
      <x:c r="B44" s="254"/>
      <x:c r="C44" s="254"/>
      <x:c r="D44" s="254"/>
      <x:c r="E44" s="254"/>
      <x:c r="F44" s="254"/>
      <x:c r="G44" s="254"/>
      <x:c r="H44" s="254"/>
      <x:c r="I44" s="254"/>
      <x:c r="J44" s="254"/>
      <x:c r="K44" s="254"/>
    </x:row>
    <x:row r="45">
      <x:c r="A45" s="254"/>
      <x:c r="B45" s="254"/>
      <x:c r="C45" s="254"/>
      <x:c r="D45" s="254"/>
      <x:c r="E45" s="254"/>
      <x:c r="F45" s="254"/>
      <x:c r="G45" s="254"/>
      <x:c r="H45" s="254"/>
      <x:c r="I45" s="254"/>
      <x:c r="J45" s="254"/>
      <x:c r="K45" s="254"/>
    </x:row>
    <x:row r="46">
      <x:c r="A46" s="254"/>
      <x:c r="B46" s="254"/>
      <x:c r="C46" s="254"/>
      <x:c r="D46" s="254"/>
      <x:c r="E46" s="254"/>
      <x:c r="F46" s="254"/>
      <x:c r="G46" s="254"/>
      <x:c r="H46" s="254"/>
      <x:c r="I46" s="254"/>
      <x:c r="J46" s="254"/>
      <x:c r="K46" s="254"/>
    </x:row>
    <x:row r="47">
      <x:c r="A47" s="254"/>
      <x:c r="B47" s="254"/>
      <x:c r="C47" s="254"/>
      <x:c r="D47" s="254"/>
      <x:c r="E47" s="254"/>
      <x:c r="F47" s="254"/>
      <x:c r="G47" s="254"/>
      <x:c r="H47" s="254"/>
      <x:c r="I47" s="254"/>
      <x:c r="J47" s="254"/>
      <x:c r="K47" s="254"/>
    </x:row>
    <x:row r="48">
      <x:c r="A48" s="254"/>
      <x:c r="B48" s="254"/>
      <x:c r="C48" s="254"/>
      <x:c r="D48" s="254"/>
      <x:c r="E48" s="254"/>
      <x:c r="F48" s="254"/>
      <x:c r="G48" s="254"/>
      <x:c r="H48" s="254"/>
      <x:c r="I48" s="254"/>
      <x:c r="J48" s="254"/>
      <x:c r="K48" s="254"/>
    </x:row>
    <x:row r="49">
      <x:c r="A49" s="254"/>
      <x:c r="B49" s="254"/>
      <x:c r="C49" s="254"/>
      <x:c r="D49" s="254"/>
      <x:c r="E49" s="254"/>
      <x:c r="F49" s="254"/>
      <x:c r="G49" s="254"/>
      <x:c r="H49" s="254"/>
      <x:c r="I49" s="254"/>
      <x:c r="J49" s="254"/>
      <x:c r="K49" s="254"/>
    </x:row>
    <x:row r="50">
      <x:c r="A50" s="254"/>
      <x:c r="B50" s="254"/>
      <x:c r="C50" s="254"/>
      <x:c r="D50" s="254"/>
      <x:c r="E50" s="254"/>
      <x:c r="F50" s="254"/>
      <x:c r="G50" s="254"/>
      <x:c r="H50" s="254"/>
      <x:c r="I50" s="254"/>
      <x:c r="J50" s="254"/>
      <x:c r="K50" s="254"/>
    </x:row>
    <x:row r="51">
      <x:c r="A51" s="254"/>
      <x:c r="B51" s="254"/>
      <x:c r="C51" s="254"/>
      <x:c r="D51" s="254"/>
      <x:c r="E51" s="254"/>
      <x:c r="F51" s="254"/>
      <x:c r="G51" s="254"/>
      <x:c r="H51" s="254"/>
      <x:c r="I51" s="254"/>
      <x:c r="J51" s="254"/>
      <x:c r="K51" s="254"/>
    </x:row>
    <x:row r="52">
      <x:c r="A52" s="254"/>
      <x:c r="B52" s="254"/>
      <x:c r="C52" s="254"/>
      <x:c r="D52" s="254"/>
      <x:c r="E52" s="254"/>
      <x:c r="F52" s="254"/>
      <x:c r="G52" s="254"/>
      <x:c r="H52" s="254"/>
      <x:c r="I52" s="254"/>
      <x:c r="J52" s="254"/>
      <x:c r="K52" s="254"/>
    </x:row>
    <x:row r="53">
      <x:c r="A53" s="254"/>
      <x:c r="B53" s="254"/>
      <x:c r="C53" s="254"/>
      <x:c r="D53" s="254"/>
      <x:c r="E53" s="254"/>
      <x:c r="F53" s="254"/>
      <x:c r="G53" s="254"/>
      <x:c r="H53" s="254"/>
      <x:c r="I53" s="254"/>
      <x:c r="J53" s="254"/>
      <x:c r="K53" s="254"/>
    </x:row>
    <x:row r="54">
      <x:c r="A54" s="254"/>
      <x:c r="B54" s="254"/>
      <x:c r="C54" s="254"/>
      <x:c r="D54" s="254"/>
      <x:c r="E54" s="254"/>
      <x:c r="F54" s="254"/>
      <x:c r="G54" s="254"/>
      <x:c r="H54" s="254"/>
      <x:c r="I54" s="254"/>
      <x:c r="J54" s="254"/>
      <x:c r="K54" s="254"/>
    </x:row>
    <x:row r="55">
      <x:c r="A55" s="254"/>
      <x:c r="B55" s="254"/>
      <x:c r="C55" s="254"/>
      <x:c r="D55" s="254"/>
      <x:c r="E55" s="254"/>
      <x:c r="F55" s="254"/>
      <x:c r="G55" s="254"/>
      <x:c r="H55" s="254"/>
      <x:c r="I55" s="254"/>
      <x:c r="J55" s="254"/>
      <x:c r="K55" s="254"/>
    </x:row>
    <x:row r="56">
      <x:c r="A56" s="254"/>
      <x:c r="B56" s="254"/>
      <x:c r="C56" s="254"/>
      <x:c r="D56" s="254"/>
      <x:c r="E56" s="254"/>
      <x:c r="F56" s="254"/>
      <x:c r="G56" s="254"/>
      <x:c r="H56" s="254"/>
      <x:c r="I56" s="254"/>
      <x:c r="J56" s="254"/>
      <x:c r="K56" s="254"/>
    </x:row>
    <x:row r="57">
      <x:c r="A57" s="254"/>
      <x:c r="B57" s="254"/>
      <x:c r="C57" s="254"/>
      <x:c r="D57" s="254"/>
      <x:c r="E57" s="254"/>
      <x:c r="F57" s="254"/>
      <x:c r="G57" s="254"/>
      <x:c r="H57" s="254"/>
      <x:c r="I57" s="254"/>
      <x:c r="J57" s="254"/>
      <x:c r="K57" s="254"/>
    </x:row>
    <x:row r="58">
      <x:c r="A58" s="254"/>
      <x:c r="B58" s="254"/>
      <x:c r="C58" s="254"/>
      <x:c r="D58" s="254"/>
      <x:c r="E58" s="254"/>
      <x:c r="F58" s="254"/>
      <x:c r="G58" s="254"/>
      <x:c r="H58" s="254"/>
      <x:c r="I58" s="254"/>
      <x:c r="J58" s="254"/>
      <x:c r="K58" s="254"/>
    </x:row>
    <x:row r="59">
      <x:c r="A59" s="254"/>
      <x:c r="B59" s="254"/>
      <x:c r="C59" s="254"/>
      <x:c r="D59" s="254"/>
      <x:c r="E59" s="254"/>
      <x:c r="F59" s="254"/>
      <x:c r="G59" s="254"/>
      <x:c r="H59" s="254"/>
      <x:c r="I59" s="254"/>
      <x:c r="J59" s="254"/>
      <x:c r="K59" s="254"/>
    </x:row>
    <x:row r="60">
      <x:c r="A60" s="254"/>
      <x:c r="B60" s="254"/>
      <x:c r="C60" s="254"/>
      <x:c r="D60" s="254"/>
      <x:c r="E60" s="254"/>
      <x:c r="F60" s="254"/>
      <x:c r="G60" s="254"/>
      <x:c r="H60" s="254"/>
      <x:c r="I60" s="254"/>
      <x:c r="J60" s="254"/>
      <x:c r="K60" s="254"/>
    </x:row>
    <x:row r="61">
      <x:c r="A61" s="254"/>
      <x:c r="B61" s="254"/>
      <x:c r="C61" s="254"/>
      <x:c r="D61" s="254"/>
      <x:c r="E61" s="254"/>
      <x:c r="F61" s="254"/>
      <x:c r="G61" s="254"/>
      <x:c r="H61" s="254"/>
      <x:c r="I61" s="254"/>
      <x:c r="J61" s="254"/>
      <x:c r="K61" s="254"/>
    </x:row>
    <x:row r="62">
      <x:c r="A62" s="254"/>
      <x:c r="B62" s="254"/>
      <x:c r="C62" s="254"/>
      <x:c r="D62" s="254"/>
      <x:c r="E62" s="254"/>
      <x:c r="F62" s="254"/>
      <x:c r="G62" s="254"/>
      <x:c r="H62" s="254"/>
      <x:c r="I62" s="254"/>
      <x:c r="J62" s="254"/>
      <x:c r="K62" s="254"/>
    </x:row>
    <x:row r="63">
      <x:c r="A63" s="254"/>
      <x:c r="B63" s="254"/>
      <x:c r="C63" s="254"/>
      <x:c r="D63" s="254"/>
      <x:c r="E63" s="254"/>
      <x:c r="F63" s="254"/>
      <x:c r="G63" s="254"/>
      <x:c r="H63" s="254"/>
      <x:c r="I63" s="254"/>
      <x:c r="J63" s="254"/>
      <x:c r="K63" s="254"/>
    </x:row>
    <x:row r="64">
      <x:c r="A64" s="254"/>
      <x:c r="B64" s="254"/>
      <x:c r="C64" s="254"/>
      <x:c r="D64" s="254"/>
      <x:c r="E64" s="254"/>
      <x:c r="F64" s="254"/>
      <x:c r="G64" s="254"/>
      <x:c r="H64" s="254"/>
      <x:c r="I64" s="254"/>
      <x:c r="J64" s="254"/>
      <x:c r="K64" s="254"/>
    </x:row>
    <x:row r="65">
      <x:c r="A65" s="254"/>
      <x:c r="B65" s="254"/>
      <x:c r="C65" s="254"/>
      <x:c r="D65" s="254"/>
      <x:c r="E65" s="254"/>
      <x:c r="F65" s="254"/>
      <x:c r="G65" s="254"/>
      <x:c r="H65" s="254"/>
      <x:c r="I65" s="254"/>
      <x:c r="J65" s="254"/>
      <x:c r="K65" s="254"/>
    </x:row>
    <x:row r="66">
      <x:c r="A66" s="254"/>
      <x:c r="B66" s="254"/>
      <x:c r="C66" s="254"/>
      <x:c r="D66" s="254"/>
      <x:c r="E66" s="254"/>
      <x:c r="F66" s="254"/>
      <x:c r="G66" s="254"/>
      <x:c r="H66" s="254"/>
      <x:c r="I66" s="254"/>
      <x:c r="J66" s="254"/>
      <x:c r="K66" s="254"/>
    </x:row>
    <x:row r="67">
      <x:c r="A67" s="254"/>
      <x:c r="B67" s="254"/>
      <x:c r="C67" s="254"/>
      <x:c r="D67" s="254"/>
      <x:c r="E67" s="254"/>
      <x:c r="F67" s="254"/>
      <x:c r="G67" s="254"/>
      <x:c r="H67" s="254"/>
      <x:c r="I67" s="254"/>
      <x:c r="J67" s="254"/>
      <x:c r="K67" s="254"/>
    </x:row>
    <x:row r="68">
      <x:c r="A68" s="254"/>
      <x:c r="B68" s="254"/>
      <x:c r="C68" s="254"/>
      <x:c r="D68" s="254"/>
      <x:c r="E68" s="254"/>
      <x:c r="F68" s="254"/>
      <x:c r="G68" s="254"/>
      <x:c r="H68" s="254"/>
      <x:c r="I68" s="254"/>
      <x:c r="J68" s="254"/>
      <x:c r="K68" s="254"/>
    </x:row>
    <x:row r="69">
      <x:c r="A69" s="254"/>
      <x:c r="B69" s="254"/>
      <x:c r="C69" s="254"/>
      <x:c r="D69" s="254"/>
      <x:c r="E69" s="254"/>
      <x:c r="F69" s="254"/>
      <x:c r="G69" s="254"/>
      <x:c r="H69" s="254"/>
      <x:c r="I69" s="254"/>
      <x:c r="J69" s="254"/>
      <x:c r="K69" s="254"/>
    </x:row>
    <x:row r="70">
      <x:c r="A70" s="254"/>
      <x:c r="B70" s="254"/>
      <x:c r="C70" s="254"/>
      <x:c r="D70" s="254"/>
      <x:c r="E70" s="254"/>
      <x:c r="F70" s="254"/>
      <x:c r="G70" s="254"/>
      <x:c r="H70" s="254"/>
      <x:c r="I70" s="254"/>
      <x:c r="J70" s="254"/>
      <x:c r="K70" s="254"/>
    </x:row>
    <x:row r="71">
      <x:c r="A71" s="254"/>
      <x:c r="B71" s="254"/>
      <x:c r="C71" s="254"/>
      <x:c r="D71" s="254"/>
      <x:c r="E71" s="254"/>
      <x:c r="F71" s="254"/>
      <x:c r="G71" s="254"/>
      <x:c r="H71" s="254"/>
      <x:c r="I71" s="254"/>
      <x:c r="J71" s="254"/>
      <x:c r="K71" s="254"/>
    </x:row>
    <x:row r="72">
      <x:c r="A72" s="254"/>
      <x:c r="B72" s="254"/>
      <x:c r="C72" s="254"/>
      <x:c r="D72" s="254"/>
      <x:c r="E72" s="254"/>
      <x:c r="F72" s="254"/>
      <x:c r="G72" s="254"/>
      <x:c r="H72" s="254"/>
      <x:c r="I72" s="254"/>
      <x:c r="J72" s="254"/>
      <x:c r="K72" s="254"/>
    </x:row>
    <x:row r="73">
      <x:c r="A73" s="254"/>
      <x:c r="B73" s="254"/>
      <x:c r="C73" s="254"/>
      <x:c r="D73" s="254"/>
      <x:c r="E73" s="254"/>
      <x:c r="F73" s="254"/>
      <x:c r="G73" s="254"/>
      <x:c r="H73" s="254"/>
      <x:c r="I73" s="254"/>
      <x:c r="J73" s="254"/>
      <x:c r="K73" s="254"/>
    </x:row>
    <x:row r="74">
      <x:c r="A74" s="254"/>
      <x:c r="B74" s="254"/>
      <x:c r="C74" s="254"/>
      <x:c r="D74" s="254"/>
      <x:c r="E74" s="254"/>
      <x:c r="F74" s="254"/>
      <x:c r="G74" s="254"/>
      <x:c r="H74" s="254"/>
      <x:c r="I74" s="254"/>
      <x:c r="J74" s="254"/>
      <x:c r="K74" s="254"/>
    </x:row>
    <x:row r="75">
      <x:c r="A75" s="254"/>
      <x:c r="B75" s="254"/>
      <x:c r="C75" s="254"/>
      <x:c r="D75" s="254"/>
      <x:c r="E75" s="254"/>
      <x:c r="F75" s="254"/>
      <x:c r="G75" s="254"/>
      <x:c r="H75" s="254"/>
      <x:c r="I75" s="254"/>
      <x:c r="J75" s="254"/>
      <x:c r="K75" s="254"/>
    </x:row>
    <x:row r="76">
      <x:c r="A76" s="254"/>
      <x:c r="B76" s="254"/>
      <x:c r="C76" s="254"/>
      <x:c r="D76" s="254"/>
      <x:c r="E76" s="254"/>
      <x:c r="F76" s="254"/>
      <x:c r="G76" s="254"/>
      <x:c r="H76" s="254"/>
      <x:c r="I76" s="254"/>
      <x:c r="J76" s="254"/>
      <x:c r="K76" s="254"/>
    </x:row>
    <x:row r="77">
      <x:c r="A77" s="254"/>
      <x:c r="B77" s="254"/>
      <x:c r="C77" s="254"/>
      <x:c r="D77" s="254"/>
      <x:c r="E77" s="254"/>
      <x:c r="F77" s="254"/>
      <x:c r="G77" s="254"/>
      <x:c r="H77" s="254"/>
      <x:c r="I77" s="254"/>
      <x:c r="J77" s="254"/>
      <x:c r="K77" s="254"/>
    </x:row>
    <x:row r="78">
      <x:c r="A78" s="254"/>
      <x:c r="B78" s="254"/>
      <x:c r="C78" s="254"/>
      <x:c r="D78" s="254"/>
      <x:c r="E78" s="254"/>
      <x:c r="F78" s="254"/>
      <x:c r="G78" s="254"/>
      <x:c r="H78" s="254"/>
      <x:c r="I78" s="254"/>
      <x:c r="J78" s="254"/>
      <x:c r="K78" s="254"/>
    </x:row>
    <x:row r="79">
      <x:c r="A79" s="254"/>
      <x:c r="B79" s="254"/>
      <x:c r="C79" s="254"/>
      <x:c r="D79" s="254"/>
      <x:c r="E79" s="254"/>
      <x:c r="F79" s="254"/>
      <x:c r="G79" s="254"/>
      <x:c r="H79" s="254"/>
      <x:c r="I79" s="254"/>
      <x:c r="J79" s="254"/>
      <x:c r="K79" s="254"/>
    </x:row>
    <x:row r="80">
      <x:c r="A80" s="254"/>
      <x:c r="B80" s="254"/>
      <x:c r="C80" s="254"/>
      <x:c r="D80" s="254"/>
      <x:c r="E80" s="254"/>
      <x:c r="F80" s="254"/>
      <x:c r="G80" s="254"/>
      <x:c r="H80" s="254"/>
      <x:c r="I80" s="254"/>
      <x:c r="J80" s="254"/>
      <x:c r="K80" s="254"/>
    </x:row>
    <x:row r="81">
      <x:c r="A81" s="254"/>
      <x:c r="B81" s="254"/>
      <x:c r="C81" s="254"/>
      <x:c r="D81" s="254"/>
      <x:c r="E81" s="254"/>
      <x:c r="F81" s="254"/>
      <x:c r="G81" s="254"/>
      <x:c r="H81" s="254"/>
      <x:c r="I81" s="254"/>
      <x:c r="J81" s="254"/>
      <x:c r="K81" s="254"/>
    </x:row>
    <x:row r="82">
      <x:c r="A82" s="254"/>
      <x:c r="B82" s="254"/>
      <x:c r="C82" s="254"/>
      <x:c r="D82" s="254"/>
      <x:c r="E82" s="254"/>
      <x:c r="F82" s="254"/>
      <x:c r="G82" s="254"/>
      <x:c r="H82" s="254"/>
      <x:c r="I82" s="254"/>
      <x:c r="J82" s="254"/>
      <x:c r="K82" s="254"/>
    </x:row>
    <x:row r="83">
      <x:c r="A83" s="254"/>
      <x:c r="B83" s="254"/>
      <x:c r="C83" s="254"/>
      <x:c r="D83" s="254"/>
      <x:c r="E83" s="254"/>
      <x:c r="F83" s="254"/>
      <x:c r="G83" s="254"/>
      <x:c r="H83" s="254"/>
      <x:c r="I83" s="254"/>
      <x:c r="J83" s="254"/>
      <x:c r="K83" s="254"/>
    </x:row>
    <x:row r="84">
      <x:c r="A84" s="254"/>
      <x:c r="B84" s="254"/>
      <x:c r="C84" s="254"/>
      <x:c r="D84" s="254"/>
      <x:c r="E84" s="254"/>
      <x:c r="F84" s="254"/>
      <x:c r="G84" s="254"/>
      <x:c r="H84" s="254"/>
      <x:c r="I84" s="254"/>
      <x:c r="J84" s="254"/>
      <x:c r="K84" s="254"/>
    </x:row>
    <x:row r="85">
      <x:c r="A85" s="254"/>
      <x:c r="B85" s="254"/>
      <x:c r="C85" s="254"/>
      <x:c r="D85" s="254"/>
      <x:c r="E85" s="254"/>
      <x:c r="F85" s="254"/>
      <x:c r="G85" s="254"/>
      <x:c r="H85" s="254"/>
      <x:c r="I85" s="254"/>
      <x:c r="J85" s="254"/>
      <x:c r="K85" s="254"/>
    </x:row>
    <x:row r="86">
      <x:c r="A86" s="254"/>
      <x:c r="B86" s="254"/>
      <x:c r="C86" s="254"/>
      <x:c r="D86" s="254"/>
      <x:c r="E86" s="254"/>
      <x:c r="F86" s="254"/>
      <x:c r="G86" s="254"/>
      <x:c r="H86" s="254"/>
      <x:c r="I86" s="254"/>
      <x:c r="J86" s="254"/>
      <x:c r="K86" s="254"/>
    </x:row>
    <x:row r="87">
      <x:c r="A87" s="254"/>
      <x:c r="B87" s="254"/>
      <x:c r="C87" s="254"/>
      <x:c r="D87" s="254"/>
      <x:c r="E87" s="254"/>
      <x:c r="F87" s="254"/>
      <x:c r="G87" s="254"/>
      <x:c r="H87" s="254"/>
      <x:c r="I87" s="254"/>
      <x:c r="J87" s="254"/>
      <x:c r="K87" s="254"/>
    </x:row>
    <x:row r="88">
      <x:c r="A88" s="254"/>
      <x:c r="B88" s="254"/>
      <x:c r="C88" s="254"/>
      <x:c r="D88" s="254"/>
      <x:c r="E88" s="254"/>
      <x:c r="F88" s="254"/>
      <x:c r="G88" s="254"/>
      <x:c r="H88" s="254"/>
      <x:c r="I88" s="254"/>
      <x:c r="J88" s="254"/>
      <x:c r="K88" s="254"/>
    </x:row>
    <x:row r="89">
      <x:c r="A89" s="254"/>
      <x:c r="B89" s="254"/>
      <x:c r="C89" s="254"/>
      <x:c r="D89" s="254"/>
      <x:c r="E89" s="254"/>
      <x:c r="F89" s="254"/>
      <x:c r="G89" s="254"/>
      <x:c r="H89" s="254"/>
      <x:c r="I89" s="254"/>
      <x:c r="J89" s="254"/>
      <x:c r="K89" s="254"/>
    </x:row>
    <x:row r="90">
      <x:c r="A90" s="254"/>
      <x:c r="B90" s="254"/>
      <x:c r="C90" s="254"/>
      <x:c r="D90" s="254"/>
      <x:c r="E90" s="254"/>
      <x:c r="F90" s="254"/>
      <x:c r="G90" s="254"/>
      <x:c r="H90" s="254"/>
      <x:c r="I90" s="254"/>
      <x:c r="J90" s="254"/>
      <x:c r="K90" s="254"/>
    </x:row>
    <x:row r="91">
      <x:c r="A91" s="254"/>
      <x:c r="B91" s="254"/>
      <x:c r="C91" s="254"/>
      <x:c r="D91" s="254"/>
      <x:c r="E91" s="254"/>
      <x:c r="F91" s="254"/>
      <x:c r="G91" s="254"/>
      <x:c r="H91" s="254"/>
      <x:c r="I91" s="254"/>
      <x:c r="J91" s="254"/>
      <x:c r="K91" s="254"/>
    </x:row>
    <x:row r="92">
      <x:c r="A92" s="254"/>
      <x:c r="B92" s="254"/>
      <x:c r="C92" s="254"/>
      <x:c r="D92" s="254"/>
      <x:c r="E92" s="254"/>
      <x:c r="F92" s="254"/>
      <x:c r="G92" s="254"/>
      <x:c r="H92" s="254"/>
      <x:c r="I92" s="254"/>
      <x:c r="J92" s="254"/>
      <x:c r="K92" s="254"/>
    </x:row>
    <x:row r="93">
      <x:c r="A93" s="254"/>
      <x:c r="B93" s="254"/>
      <x:c r="C93" s="254"/>
      <x:c r="D93" s="254"/>
      <x:c r="E93" s="254"/>
      <x:c r="F93" s="254"/>
      <x:c r="G93" s="254"/>
      <x:c r="H93" s="254"/>
      <x:c r="I93" s="254"/>
      <x:c r="J93" s="254"/>
      <x:c r="K93" s="254"/>
    </x:row>
    <x:row r="94">
      <x:c r="A94" s="254"/>
      <x:c r="B94" s="254"/>
      <x:c r="C94" s="254"/>
      <x:c r="D94" s="254"/>
      <x:c r="E94" s="254"/>
      <x:c r="F94" s="254"/>
      <x:c r="G94" s="254"/>
      <x:c r="H94" s="254"/>
      <x:c r="I94" s="254"/>
      <x:c r="J94" s="254"/>
      <x:c r="K94" s="254"/>
    </x:row>
    <x:row r="95">
      <x:c r="A95" s="254"/>
      <x:c r="B95" s="254"/>
      <x:c r="C95" s="254"/>
      <x:c r="D95" s="254"/>
      <x:c r="E95" s="254"/>
      <x:c r="F95" s="254"/>
      <x:c r="G95" s="254"/>
      <x:c r="H95" s="254"/>
      <x:c r="I95" s="254"/>
      <x:c r="J95" s="254"/>
      <x:c r="K95" s="254"/>
    </x:row>
    <x:row r="96">
      <x:c r="A96" s="254"/>
      <x:c r="B96" s="254"/>
      <x:c r="C96" s="254"/>
      <x:c r="D96" s="254"/>
      <x:c r="E96" s="254"/>
      <x:c r="F96" s="254"/>
      <x:c r="G96" s="254"/>
      <x:c r="H96" s="254"/>
      <x:c r="I96" s="254"/>
      <x:c r="J96" s="254"/>
      <x:c r="K96" s="254"/>
    </x:row>
    <x:row r="97">
      <x:c r="A97" s="254"/>
      <x:c r="B97" s="254"/>
      <x:c r="C97" s="254"/>
      <x:c r="D97" s="254"/>
      <x:c r="E97" s="254"/>
      <x:c r="F97" s="254"/>
      <x:c r="G97" s="254"/>
      <x:c r="H97" s="254"/>
      <x:c r="I97" s="254"/>
      <x:c r="J97" s="254"/>
      <x:c r="K97" s="254"/>
    </x:row>
    <x:row r="98">
      <x:c r="A98" s="254"/>
      <x:c r="B98" s="254"/>
      <x:c r="C98" s="254"/>
      <x:c r="D98" s="254"/>
      <x:c r="E98" s="254"/>
      <x:c r="F98" s="254"/>
      <x:c r="G98" s="254"/>
      <x:c r="H98" s="254"/>
      <x:c r="I98" s="254"/>
      <x:c r="J98" s="254"/>
      <x:c r="K98" s="254"/>
    </x:row>
    <x:row r="99">
      <x:c r="A99" s="254"/>
      <x:c r="B99" s="254"/>
      <x:c r="C99" s="254"/>
      <x:c r="D99" s="254"/>
      <x:c r="E99" s="254"/>
      <x:c r="F99" s="254"/>
      <x:c r="G99" s="254"/>
      <x:c r="H99" s="254"/>
      <x:c r="I99" s="254"/>
      <x:c r="J99" s="254"/>
      <x:c r="K99" s="254"/>
    </x:row>
    <x:row r="100">
      <x:c r="A100" s="254"/>
      <x:c r="B100" s="254"/>
      <x:c r="C100" s="254"/>
      <x:c r="D100" s="254"/>
      <x:c r="E100" s="254"/>
      <x:c r="F100" s="254"/>
      <x:c r="G100" s="254"/>
      <x:c r="H100" s="254"/>
      <x:c r="I100" s="254"/>
      <x:c r="J100" s="254"/>
      <x:c r="K100" s="254"/>
    </x:row>
    <x:row r="101">
      <x:c r="A101" s="254"/>
      <x:c r="B101" s="254"/>
      <x:c r="C101" s="254"/>
      <x:c r="D101" s="254"/>
      <x:c r="E101" s="254"/>
      <x:c r="F101" s="254"/>
      <x:c r="G101" s="254"/>
      <x:c r="H101" s="254"/>
      <x:c r="I101" s="254"/>
      <x:c r="J101" s="254"/>
      <x:c r="K101" s="254"/>
    </x:row>
    <x:row r="102">
      <x:c r="A102" s="254"/>
      <x:c r="B102" s="254"/>
      <x:c r="C102" s="254"/>
      <x:c r="D102" s="254"/>
      <x:c r="E102" s="254"/>
      <x:c r="F102" s="254"/>
      <x:c r="G102" s="254"/>
      <x:c r="H102" s="254"/>
      <x:c r="I102" s="254"/>
      <x:c r="J102" s="254"/>
      <x:c r="K102" s="254"/>
    </x:row>
    <x:row r="103">
      <x:c r="A103" s="254"/>
      <x:c r="B103" s="254"/>
      <x:c r="C103" s="254"/>
      <x:c r="D103" s="254"/>
      <x:c r="E103" s="254"/>
      <x:c r="F103" s="254"/>
      <x:c r="G103" s="254"/>
      <x:c r="H103" s="254"/>
      <x:c r="I103" s="254"/>
      <x:c r="J103" s="254"/>
      <x:c r="K103" s="254"/>
    </x:row>
    <x:row r="104">
      <x:c r="A104" s="254"/>
      <x:c r="B104" s="254"/>
      <x:c r="C104" s="254"/>
      <x:c r="D104" s="254"/>
      <x:c r="E104" s="254"/>
      <x:c r="F104" s="254"/>
      <x:c r="G104" s="254"/>
      <x:c r="H104" s="254"/>
      <x:c r="I104" s="254"/>
      <x:c r="J104" s="254"/>
      <x:c r="K104" s="254"/>
    </x:row>
    <x:row r="105">
      <x:c r="A105" s="254"/>
      <x:c r="B105" s="254"/>
      <x:c r="C105" s="254"/>
      <x:c r="D105" s="254"/>
      <x:c r="E105" s="254"/>
      <x:c r="F105" s="254"/>
      <x:c r="G105" s="254"/>
      <x:c r="H105" s="254"/>
      <x:c r="I105" s="254"/>
      <x:c r="J105" s="254"/>
      <x:c r="K105" s="254"/>
    </x:row>
    <x:row r="106">
      <x:c r="A106" s="254"/>
      <x:c r="B106" s="254"/>
      <x:c r="C106" s="254"/>
      <x:c r="D106" s="254"/>
      <x:c r="E106" s="254"/>
      <x:c r="F106" s="254"/>
      <x:c r="G106" s="254"/>
      <x:c r="H106" s="254"/>
      <x:c r="I106" s="254"/>
      <x:c r="J106" s="254"/>
      <x:c r="K106" s="254"/>
    </x:row>
    <x:row r="107">
      <x:c r="A107" s="254"/>
      <x:c r="B107" s="254"/>
      <x:c r="C107" s="254"/>
      <x:c r="D107" s="254"/>
      <x:c r="E107" s="254"/>
      <x:c r="F107" s="254"/>
      <x:c r="G107" s="254"/>
      <x:c r="H107" s="254"/>
      <x:c r="I107" s="254"/>
      <x:c r="J107" s="254"/>
      <x:c r="K107" s="254"/>
    </x:row>
    <x:row r="108">
      <x:c r="A108" s="254"/>
      <x:c r="B108" s="254"/>
      <x:c r="C108" s="254"/>
      <x:c r="D108" s="254"/>
      <x:c r="E108" s="254"/>
      <x:c r="F108" s="254"/>
      <x:c r="G108" s="254"/>
      <x:c r="H108" s="254"/>
      <x:c r="I108" s="254"/>
      <x:c r="J108" s="254"/>
      <x:c r="K108" s="254"/>
    </x:row>
    <x:row r="109">
      <x:c r="A109" s="254"/>
      <x:c r="B109" s="254"/>
      <x:c r="C109" s="254"/>
      <x:c r="D109" s="254"/>
      <x:c r="E109" s="254"/>
      <x:c r="F109" s="254"/>
      <x:c r="G109" s="254"/>
      <x:c r="H109" s="254"/>
      <x:c r="I109" s="254"/>
      <x:c r="J109" s="254"/>
      <x:c r="K109" s="254"/>
    </x:row>
    <x:row r="110">
      <x:c r="A110" s="254"/>
      <x:c r="B110" s="254"/>
      <x:c r="C110" s="254"/>
      <x:c r="D110" s="254"/>
      <x:c r="E110" s="254"/>
      <x:c r="F110" s="254"/>
      <x:c r="G110" s="254"/>
      <x:c r="H110" s="254"/>
      <x:c r="I110" s="254"/>
      <x:c r="J110" s="254"/>
      <x:c r="K110" s="254"/>
    </x:row>
    <x:row r="111">
      <x:c r="A111" s="254"/>
      <x:c r="B111" s="254"/>
      <x:c r="C111" s="254"/>
      <x:c r="D111" s="254"/>
      <x:c r="E111" s="254"/>
      <x:c r="F111" s="254"/>
      <x:c r="G111" s="254"/>
      <x:c r="H111" s="254"/>
      <x:c r="I111" s="254"/>
      <x:c r="J111" s="254"/>
      <x:c r="K111" s="254"/>
    </x:row>
    <x:row r="112">
      <x:c r="A112" s="254"/>
      <x:c r="B112" s="254"/>
      <x:c r="C112" s="254"/>
      <x:c r="D112" s="254"/>
      <x:c r="E112" s="254"/>
      <x:c r="F112" s="254"/>
      <x:c r="G112" s="254"/>
      <x:c r="H112" s="254"/>
      <x:c r="I112" s="254"/>
      <x:c r="J112" s="254"/>
      <x:c r="K112" s="254"/>
    </x:row>
    <x:row r="113">
      <x:c r="A113" s="254"/>
      <x:c r="B113" s="254"/>
      <x:c r="C113" s="254"/>
      <x:c r="D113" s="254"/>
      <x:c r="E113" s="254"/>
      <x:c r="F113" s="254"/>
      <x:c r="G113" s="254"/>
      <x:c r="H113" s="254"/>
      <x:c r="I113" s="254"/>
      <x:c r="J113" s="254"/>
      <x:c r="K113" s="254"/>
    </x:row>
    <x:row r="114">
      <x:c r="A114" s="254"/>
      <x:c r="B114" s="254"/>
      <x:c r="C114" s="254"/>
      <x:c r="D114" s="254"/>
      <x:c r="E114" s="254"/>
      <x:c r="F114" s="254"/>
      <x:c r="G114" s="254"/>
      <x:c r="H114" s="254"/>
      <x:c r="I114" s="254"/>
      <x:c r="J114" s="254"/>
      <x:c r="K114" s="254"/>
    </x:row>
    <x:row r="115">
      <x:c r="A115" s="254"/>
      <x:c r="B115" s="254"/>
      <x:c r="C115" s="254"/>
      <x:c r="D115" s="254"/>
      <x:c r="E115" s="254"/>
      <x:c r="F115" s="254"/>
      <x:c r="G115" s="254"/>
      <x:c r="H115" s="254"/>
      <x:c r="I115" s="254"/>
      <x:c r="J115" s="254"/>
      <x:c r="K115" s="254"/>
    </x:row>
    <x:row r="116">
      <x:c r="A116" s="254"/>
      <x:c r="B116" s="254"/>
      <x:c r="C116" s="254"/>
      <x:c r="D116" s="254"/>
      <x:c r="E116" s="254"/>
      <x:c r="F116" s="254"/>
      <x:c r="G116" s="254"/>
      <x:c r="H116" s="254"/>
      <x:c r="I116" s="254"/>
      <x:c r="J116" s="254"/>
      <x:c r="K116" s="254"/>
    </x:row>
    <x:row r="117">
      <x:c r="A117" s="254"/>
      <x:c r="B117" s="254"/>
      <x:c r="C117" s="254"/>
      <x:c r="D117" s="254"/>
      <x:c r="E117" s="254"/>
      <x:c r="F117" s="254"/>
      <x:c r="G117" s="254"/>
      <x:c r="H117" s="254"/>
      <x:c r="I117" s="254"/>
      <x:c r="J117" s="254"/>
      <x:c r="K117" s="254"/>
    </x:row>
    <x:row r="118">
      <x:c r="A118" s="254"/>
      <x:c r="B118" s="254"/>
      <x:c r="C118" s="254"/>
      <x:c r="D118" s="254"/>
      <x:c r="E118" s="254"/>
      <x:c r="F118" s="254"/>
      <x:c r="G118" s="254"/>
      <x:c r="H118" s="254"/>
      <x:c r="I118" s="254"/>
      <x:c r="J118" s="254"/>
      <x:c r="K118" s="254"/>
    </x:row>
    <x:row r="119">
      <x:c r="A119" s="254"/>
      <x:c r="B119" s="254"/>
      <x:c r="C119" s="254"/>
      <x:c r="D119" s="254"/>
      <x:c r="E119" s="254"/>
      <x:c r="F119" s="254"/>
      <x:c r="G119" s="254"/>
      <x:c r="H119" s="254"/>
      <x:c r="I119" s="254"/>
      <x:c r="J119" s="254"/>
      <x:c r="K119" s="254"/>
    </x:row>
    <x:row r="120">
      <x:c r="A120" s="254"/>
      <x:c r="B120" s="254"/>
      <x:c r="C120" s="254"/>
      <x:c r="D120" s="254"/>
      <x:c r="E120" s="254"/>
      <x:c r="F120" s="254"/>
      <x:c r="G120" s="254"/>
      <x:c r="H120" s="254"/>
      <x:c r="I120" s="254"/>
      <x:c r="J120" s="254"/>
      <x:c r="K120" s="254"/>
    </x:row>
    <x:row r="121">
      <x:c r="A121" s="254"/>
      <x:c r="B121" s="254"/>
      <x:c r="C121" s="254"/>
      <x:c r="D121" s="254"/>
      <x:c r="E121" s="254"/>
      <x:c r="F121" s="254"/>
      <x:c r="G121" s="254"/>
      <x:c r="H121" s="254"/>
      <x:c r="I121" s="254"/>
      <x:c r="J121" s="254"/>
      <x:c r="K121" s="254"/>
    </x:row>
    <x:row r="122">
      <x:c r="A122" s="254"/>
      <x:c r="B122" s="254"/>
      <x:c r="C122" s="254"/>
      <x:c r="D122" s="254"/>
      <x:c r="E122" s="254"/>
      <x:c r="F122" s="254"/>
      <x:c r="G122" s="254"/>
      <x:c r="H122" s="254"/>
      <x:c r="I122" s="254"/>
      <x:c r="J122" s="254"/>
      <x:c r="K122" s="254"/>
    </x:row>
    <x:row r="123">
      <x:c r="A123" s="254"/>
      <x:c r="B123" s="254"/>
      <x:c r="C123" s="254"/>
      <x:c r="D123" s="254"/>
      <x:c r="E123" s="254"/>
      <x:c r="F123" s="254"/>
      <x:c r="G123" s="254"/>
      <x:c r="H123" s="254"/>
      <x:c r="I123" s="254"/>
      <x:c r="J123" s="254"/>
      <x:c r="K123" s="254"/>
    </x:row>
    <x:row r="124">
      <x:c r="A124" s="254"/>
      <x:c r="B124" s="254"/>
      <x:c r="C124" s="254"/>
      <x:c r="D124" s="254"/>
      <x:c r="E124" s="254"/>
      <x:c r="F124" s="254"/>
      <x:c r="G124" s="254"/>
      <x:c r="H124" s="254"/>
      <x:c r="I124" s="254"/>
      <x:c r="J124" s="254"/>
      <x:c r="K124" s="254"/>
    </x:row>
    <x:row r="125">
      <x:c r="A125" s="254"/>
      <x:c r="B125" s="254"/>
      <x:c r="C125" s="254"/>
      <x:c r="D125" s="254"/>
      <x:c r="E125" s="254"/>
      <x:c r="F125" s="254"/>
      <x:c r="G125" s="254"/>
      <x:c r="H125" s="254"/>
      <x:c r="I125" s="254"/>
      <x:c r="J125" s="254"/>
      <x:c r="K125" s="254"/>
    </x:row>
    <x:row r="126">
      <x:c r="A126" s="254"/>
      <x:c r="B126" s="254"/>
      <x:c r="C126" s="254"/>
      <x:c r="D126" s="254"/>
      <x:c r="E126" s="254"/>
      <x:c r="F126" s="254"/>
      <x:c r="G126" s="254"/>
      <x:c r="H126" s="254"/>
      <x:c r="I126" s="254"/>
      <x:c r="J126" s="254"/>
      <x:c r="K126" s="254"/>
    </x:row>
    <x:row r="127">
      <x:c r="A127" s="254"/>
      <x:c r="B127" s="254"/>
      <x:c r="C127" s="254"/>
      <x:c r="D127" s="254"/>
      <x:c r="E127" s="254"/>
      <x:c r="F127" s="254"/>
      <x:c r="G127" s="254"/>
      <x:c r="H127" s="254"/>
      <x:c r="I127" s="254"/>
      <x:c r="J127" s="254"/>
      <x:c r="K127" s="254"/>
    </x:row>
    <x:row r="128">
      <x:c r="A128" s="254"/>
      <x:c r="B128" s="254"/>
      <x:c r="C128" s="254"/>
      <x:c r="D128" s="254"/>
      <x:c r="E128" s="254"/>
      <x:c r="F128" s="254"/>
      <x:c r="G128" s="254"/>
      <x:c r="H128" s="254"/>
      <x:c r="I128" s="254"/>
      <x:c r="J128" s="254"/>
      <x:c r="K128" s="254"/>
    </x:row>
    <x:row r="129">
      <x:c r="A129" s="254"/>
      <x:c r="B129" s="254"/>
      <x:c r="C129" s="254"/>
      <x:c r="D129" s="254"/>
      <x:c r="E129" s="254"/>
      <x:c r="F129" s="254"/>
      <x:c r="G129" s="254"/>
      <x:c r="H129" s="254"/>
      <x:c r="I129" s="254"/>
      <x:c r="J129" s="254"/>
      <x:c r="K129" s="254"/>
    </x:row>
    <x:row r="130">
      <x:c r="A130" s="254"/>
      <x:c r="B130" s="254"/>
      <x:c r="C130" s="254"/>
      <x:c r="D130" s="254"/>
      <x:c r="E130" s="254"/>
      <x:c r="F130" s="254"/>
      <x:c r="G130" s="254"/>
      <x:c r="H130" s="254"/>
      <x:c r="I130" s="254"/>
      <x:c r="J130" s="254"/>
      <x:c r="K130" s="254"/>
    </x:row>
    <x:row r="131">
      <x:c r="A131" s="254"/>
      <x:c r="B131" s="254"/>
      <x:c r="C131" s="254"/>
      <x:c r="D131" s="254"/>
      <x:c r="E131" s="254"/>
      <x:c r="F131" s="254"/>
      <x:c r="G131" s="254"/>
      <x:c r="H131" s="254"/>
      <x:c r="I131" s="254"/>
      <x:c r="J131" s="254"/>
      <x:c r="K131" s="254"/>
    </x:row>
    <x:row r="132">
      <x:c r="A132" s="254"/>
      <x:c r="B132" s="254"/>
      <x:c r="C132" s="254"/>
      <x:c r="D132" s="254"/>
      <x:c r="E132" s="254"/>
      <x:c r="F132" s="254"/>
      <x:c r="G132" s="254"/>
      <x:c r="H132" s="254"/>
      <x:c r="I132" s="254"/>
      <x:c r="J132" s="254"/>
      <x:c r="K132" s="254"/>
    </x:row>
    <x:row r="133">
      <x:c r="A133" s="254"/>
      <x:c r="B133" s="254"/>
      <x:c r="C133" s="254"/>
      <x:c r="D133" s="254"/>
      <x:c r="E133" s="254"/>
      <x:c r="F133" s="254"/>
      <x:c r="G133" s="254"/>
      <x:c r="H133" s="254"/>
      <x:c r="I133" s="254"/>
      <x:c r="J133" s="254"/>
      <x:c r="K133" s="254"/>
    </x:row>
    <x:row r="134">
      <x:c r="A134" s="254"/>
      <x:c r="B134" s="254"/>
      <x:c r="C134" s="254"/>
      <x:c r="D134" s="254"/>
      <x:c r="E134" s="254"/>
      <x:c r="F134" s="254"/>
      <x:c r="G134" s="254"/>
      <x:c r="H134" s="254"/>
      <x:c r="I134" s="254"/>
      <x:c r="J134" s="254"/>
      <x:c r="K134" s="254"/>
    </x:row>
    <x:row r="135">
      <x:c r="A135" s="254"/>
      <x:c r="B135" s="254"/>
      <x:c r="C135" s="254"/>
      <x:c r="D135" s="254"/>
      <x:c r="E135" s="254"/>
      <x:c r="F135" s="254"/>
      <x:c r="G135" s="254"/>
      <x:c r="H135" s="254"/>
      <x:c r="I135" s="254"/>
      <x:c r="J135" s="254"/>
      <x:c r="K135" s="254"/>
    </x:row>
    <x:row r="136">
      <x:c r="A136" s="254"/>
      <x:c r="B136" s="254"/>
      <x:c r="C136" s="254"/>
      <x:c r="D136" s="254"/>
      <x:c r="E136" s="254"/>
      <x:c r="F136" s="254"/>
      <x:c r="G136" s="254"/>
      <x:c r="H136" s="254"/>
      <x:c r="I136" s="254"/>
      <x:c r="J136" s="254"/>
      <x:c r="K136" s="254"/>
    </x:row>
    <x:row r="137">
      <x:c r="A137" s="254"/>
      <x:c r="B137" s="254"/>
      <x:c r="C137" s="254"/>
      <x:c r="D137" s="254"/>
      <x:c r="E137" s="254"/>
      <x:c r="F137" s="254"/>
      <x:c r="G137" s="254"/>
      <x:c r="H137" s="254"/>
      <x:c r="I137" s="254"/>
      <x:c r="J137" s="254"/>
      <x:c r="K137" s="254"/>
    </x:row>
    <x:row r="138">
      <x:c r="A138" s="254"/>
      <x:c r="B138" s="254"/>
      <x:c r="C138" s="254"/>
      <x:c r="D138" s="254"/>
      <x:c r="E138" s="254"/>
      <x:c r="F138" s="254"/>
      <x:c r="G138" s="254"/>
      <x:c r="H138" s="254"/>
      <x:c r="I138" s="254"/>
      <x:c r="J138" s="254"/>
      <x:c r="K138" s="254"/>
    </x:row>
    <x:row r="139">
      <x:c r="A139" s="254"/>
      <x:c r="B139" s="254"/>
      <x:c r="C139" s="254"/>
      <x:c r="D139" s="254"/>
      <x:c r="E139" s="254"/>
      <x:c r="F139" s="254"/>
      <x:c r="G139" s="254"/>
      <x:c r="H139" s="254"/>
      <x:c r="I139" s="254"/>
      <x:c r="J139" s="254"/>
      <x:c r="K139" s="254"/>
    </x:row>
    <x:row r="140">
      <x:c r="A140" s="254"/>
      <x:c r="B140" s="254"/>
      <x:c r="C140" s="254"/>
      <x:c r="D140" s="254"/>
      <x:c r="E140" s="254"/>
      <x:c r="F140" s="254"/>
      <x:c r="G140" s="254"/>
      <x:c r="H140" s="254"/>
      <x:c r="I140" s="254"/>
      <x:c r="J140" s="254"/>
      <x:c r="K140" s="254"/>
    </x:row>
    <x:row r="141">
      <x:c r="A141" s="254"/>
      <x:c r="B141" s="254"/>
      <x:c r="C141" s="254"/>
      <x:c r="D141" s="254"/>
      <x:c r="E141" s="254"/>
      <x:c r="F141" s="254"/>
      <x:c r="G141" s="254"/>
      <x:c r="H141" s="254"/>
      <x:c r="I141" s="254"/>
      <x:c r="J141" s="254"/>
      <x:c r="K141" s="254"/>
    </x:row>
    <x:row r="142">
      <x:c r="A142" s="254"/>
      <x:c r="B142" s="254"/>
      <x:c r="C142" s="254"/>
      <x:c r="D142" s="254"/>
      <x:c r="E142" s="254"/>
      <x:c r="F142" s="254"/>
      <x:c r="G142" s="254"/>
      <x:c r="H142" s="254"/>
      <x:c r="I142" s="254"/>
      <x:c r="J142" s="254"/>
      <x:c r="K142" s="254"/>
    </x:row>
    <x:row r="143">
      <x:c r="A143" s="254"/>
      <x:c r="B143" s="254"/>
      <x:c r="C143" s="254"/>
      <x:c r="D143" s="254"/>
      <x:c r="E143" s="254"/>
      <x:c r="F143" s="254"/>
      <x:c r="G143" s="254"/>
      <x:c r="H143" s="254"/>
      <x:c r="I143" s="254"/>
      <x:c r="J143" s="254"/>
      <x:c r="K143" s="254"/>
    </x:row>
    <x:row r="144">
      <x:c r="A144" s="254"/>
      <x:c r="B144" s="254"/>
      <x:c r="C144" s="254"/>
      <x:c r="D144" s="254"/>
      <x:c r="E144" s="254"/>
      <x:c r="F144" s="254"/>
      <x:c r="G144" s="254"/>
      <x:c r="H144" s="254"/>
      <x:c r="I144" s="254"/>
      <x:c r="J144" s="254"/>
      <x:c r="K144" s="254"/>
    </x:row>
    <x:row r="145">
      <x:c r="A145" s="254"/>
      <x:c r="B145" s="254"/>
      <x:c r="C145" s="254"/>
      <x:c r="D145" s="254"/>
      <x:c r="E145" s="254"/>
      <x:c r="F145" s="254"/>
      <x:c r="G145" s="254"/>
      <x:c r="H145" s="254"/>
      <x:c r="I145" s="254"/>
      <x:c r="J145" s="254"/>
      <x:c r="K145" s="254"/>
    </x:row>
    <x:row r="146">
      <x:c r="A146" s="254"/>
      <x:c r="B146" s="254"/>
      <x:c r="C146" s="254"/>
      <x:c r="D146" s="254"/>
      <x:c r="E146" s="254"/>
      <x:c r="F146" s="254"/>
      <x:c r="G146" s="254"/>
      <x:c r="H146" s="254"/>
      <x:c r="I146" s="254"/>
      <x:c r="J146" s="254"/>
      <x:c r="K146" s="254"/>
    </x:row>
    <x:row r="147">
      <x:c r="A147" s="254"/>
      <x:c r="B147" s="254"/>
      <x:c r="C147" s="254"/>
      <x:c r="D147" s="254"/>
      <x:c r="E147" s="254"/>
      <x:c r="F147" s="254"/>
      <x:c r="G147" s="254"/>
      <x:c r="H147" s="254"/>
      <x:c r="I147" s="254"/>
      <x:c r="J147" s="254"/>
      <x:c r="K147" s="254"/>
    </x:row>
    <x:row r="148">
      <x:c r="A148" s="254"/>
      <x:c r="B148" s="254"/>
      <x:c r="C148" s="254"/>
      <x:c r="D148" s="254"/>
      <x:c r="E148" s="254"/>
      <x:c r="F148" s="254"/>
      <x:c r="G148" s="254"/>
      <x:c r="H148" s="254"/>
      <x:c r="I148" s="254"/>
      <x:c r="J148" s="254"/>
      <x:c r="K148" s="254"/>
    </x:row>
    <x:row r="149">
      <x:c r="A149" s="254"/>
      <x:c r="B149" s="254"/>
      <x:c r="C149" s="254"/>
      <x:c r="D149" s="254"/>
      <x:c r="E149" s="254"/>
      <x:c r="F149" s="254"/>
      <x:c r="G149" s="254"/>
      <x:c r="H149" s="254"/>
      <x:c r="I149" s="254"/>
      <x:c r="J149" s="254"/>
      <x:c r="K149" s="254"/>
    </x:row>
    <x:row r="150">
      <x:c r="A150" s="254"/>
      <x:c r="B150" s="254"/>
      <x:c r="C150" s="254"/>
      <x:c r="D150" s="254"/>
      <x:c r="E150" s="254"/>
      <x:c r="F150" s="254"/>
      <x:c r="G150" s="254"/>
      <x:c r="H150" s="254"/>
      <x:c r="I150" s="254"/>
      <x:c r="J150" s="254"/>
      <x:c r="K150" s="254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5" hidden="0" customWidth="1"/>
    <x:col min="8" max="8" width="22" hidden="0" customWidth="1"/>
    <x:col min="9" max="9" width="20" hidden="0" customWidth="1"/>
    <x:col min="10" max="10" width="20" hidden="0" customWidth="1"/>
    <x:col min="11" max="11" width="22" hidden="0" customWidth="1"/>
  </x:cols>
  <x:sheetData>
    <x:row r="1" ht="25" customHeight="1">
      <x:c r="A1" s="5" t="str">
        <x:v>RELATIVE VALUATION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2" customHeight="1">
      <x:c r="A2" s="13" t="str">
        <x:v>Peer-median methodology | Peer median excludes each target bank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>
      <x:c r="A3" s="254"/>
      <x:c r="B3" s="254"/>
      <x:c r="C3" s="254"/>
      <x:c r="D3" s="254"/>
      <x:c r="E3" s="254"/>
      <x:c r="F3" s="254"/>
      <x:c r="G3" s="254"/>
      <x:c r="H3" s="254"/>
      <x:c r="I3" s="254"/>
      <x:c r="J3" s="254"/>
      <x:c r="K3" s="254"/>
    </x:row>
    <x:row r="4" ht="32" customHeight="1">
      <x:c r="A4" s="36" t="str">
        <x:v>Bank</x:v>
      </x:c>
      <x:c r="B4" s="37" t="str">
        <x:v>P/B (x)</x:v>
      </x:c>
      <x:c r="C4" s="37" t="str">
        <x:v>Peer P/B ex Target (x)</x:v>
      </x:c>
      <x:c r="D4" s="37" t="str">
        <x:v>P/B Premium / (Discount)</x:v>
      </x:c>
      <x:c r="E4" s="37" t="str">
        <x:v>P/B Implied Price (₹)</x:v>
      </x:c>
      <x:c r="F4" s="37" t="str">
        <x:v>P/B Upside / (Downside)</x:v>
      </x:c>
      <x:c r="G4" s="37" t="str">
        <x:v>P/TBV (x)</x:v>
      </x:c>
      <x:c r="H4" s="37" t="str">
        <x:v>Peer P/TBV ex Target (x)</x:v>
      </x:c>
      <x:c r="I4" s="37" t="str">
        <x:v>P/TBV Premium / (Discount)</x:v>
      </x:c>
      <x:c r="J4" s="37" t="str">
        <x:v>P/TBV Implied Price (₹)</x:v>
      </x:c>
      <x:c r="K4" s="38" t="str">
        <x:v>P/TBV Upside / (Downside)</x:v>
      </x:c>
    </x:row>
    <x:row r="5">
      <x:c r="A5" s="270" t="str">
        <x:v>Axis Bank</x:v>
      </x:c>
      <x:c r="B5" s="218" t="n">
        <x:f>'Valuation &amp; Tangible'!B17</x:f>
        <x:v>1.8167966762681866</x:v>
      </x:c>
      <x:c r="C5" s="218" t="n">
        <x:f>MEDIAN('Valuation &amp; Tangible'!C17,'Valuation &amp; Tangible'!D17,'Valuation &amp; Tangible'!E17,'Valuation &amp; Tangible'!F17)</x:f>
        <x:v>2.155103291926277</x:v>
      </x:c>
      <x:c r="D5" s="212" t="n">
        <x:f>IFERROR(B5/C5-1,0)</x:f>
        <x:v>-0.15697930439134755</x:v>
      </x:c>
      <x:c r="E5" s="204" t="n">
        <x:f>C5*'Valuation &amp; Tangible'!B13</x:f>
        <x:v>1491.0665972351471</x:v>
      </x:c>
      <x:c r="F5" s="212" t="n">
        <x:f>IFERROR(E5/'Valuation &amp; Tangible'!B5-1,0)</x:f>
        <x:v>0.18621049899375275</x:v>
      </x:c>
      <x:c r="G5" s="218" t="n">
        <x:f>'Valuation &amp; Tangible'!B18</x:f>
        <x:v>1.8192442144467351</x:v>
      </x:c>
      <x:c r="H5" s="218" t="n">
        <x:f>MEDIAN('Valuation &amp; Tangible'!C18,'Valuation &amp; Tangible'!D18,'Valuation &amp; Tangible'!E18,'Valuation &amp; Tangible'!F18)</x:f>
        <x:v>2.161047159734516</x:v>
      </x:c>
      <x:c r="I5" s="212" t="n">
        <x:f>IFERROR(G5/H5-1,0)</x:f>
        <x:v>-0.15816542630646313</x:v>
      </x:c>
      <x:c r="J5" s="204" t="n">
        <x:f>H5*'Valuation &amp; Tangible'!B14</x:f>
        <x:v>1493.167469334184</x:v>
      </x:c>
      <x:c r="K5" s="213" t="n">
        <x:f>IFERROR(J5/'Valuation &amp; Tangible'!B5-1,0)</x:f>
        <x:v>0.18788183717914397</x:v>
      </x:c>
    </x:row>
    <x:row r="6">
      <x:c r="A6" s="270" t="str">
        <x:v>HDFC Bank</x:v>
      </x:c>
      <x:c r="B6" s="218" t="n">
        <x:f>'Valuation &amp; Tangible'!C17</x:f>
        <x:v>1.9147368142654457</x:v>
      </x:c>
      <x:c r="C6" s="218" t="n">
        <x:f>MEDIAN('Valuation &amp; Tangible'!B17,'Valuation &amp; Tangible'!D17,'Valuation &amp; Tangible'!E17,'Valuation &amp; Tangible'!F17)</x:f>
        <x:v>2.155103291926277</x:v>
      </x:c>
      <x:c r="D6" s="212" t="n">
        <x:f>IFERROR(B6/C6-1,0)</x:f>
        <x:v>-0.11153362280189671</x:v>
      </x:c>
      <x:c r="E6" s="204" t="n">
        <x:f>C6*'Valuation &amp; Tangible'!C13</x:f>
        <x:v>820.5150118330852</x:v>
      </x:c>
      <x:c r="F6" s="212" t="n">
        <x:f>IFERROR(E6/'Valuation &amp; Tangible'!C5-1,0)</x:f>
        <x:v>0.1255349956558096</x:v>
      </x:c>
      <x:c r="G6" s="218" t="n">
        <x:f>'Valuation &amp; Tangible'!C18</x:f>
        <x:v>1.9147368142654457</x:v>
      </x:c>
      <x:c r="H6" s="218" t="n">
        <x:f>MEDIAN('Valuation &amp; Tangible'!B18,'Valuation &amp; Tangible'!D18,'Valuation &amp; Tangible'!E18,'Valuation &amp; Tangible'!F18)</x:f>
        <x:v>2.161047159734516</x:v>
      </x:c>
      <x:c r="I6" s="212" t="n">
        <x:f>IFERROR(G6/H6-1,0)</x:f>
        <x:v>-0.11397731158228386</x:v>
      </x:c>
      <x:c r="J6" s="204" t="n">
        <x:f>H6*'Valuation &amp; Tangible'!C14</x:f>
        <x:v>822.7780276167289</x:v>
      </x:c>
      <x:c r="K6" s="213" t="n">
        <x:f>IFERROR(J6/'Valuation &amp; Tangible'!C5-1,0)</x:f>
        <x:v>0.128639269707447</x:v>
      </x:c>
    </x:row>
    <x:row r="7">
      <x:c r="A7" s="270" t="str">
        <x:v>ICICI Bank</x:v>
      </x:c>
      <x:c r="B7" s="218" t="n">
        <x:f>'Valuation &amp; Tangible'!D17</x:f>
        <x:v>2.6406735628562075</x:v>
      </x:c>
      <x:c r="C7" s="218" t="n">
        <x:f>MEDIAN('Valuation &amp; Tangible'!B17,'Valuation &amp; Tangible'!C17,'Valuation &amp; Tangible'!E17,'Valuation &amp; Tangible'!F17)</x:f>
        <x:v>1.9819070281151667</x:v>
      </x:c>
      <x:c r="D7" s="212" t="n">
        <x:f>IFERROR(B7/C7-1,0)</x:f>
        <x:v>0.3323902309219524</x:v>
      </x:c>
      <x:c r="E7" s="204" t="n">
        <x:f>C7*'Valuation &amp; Tangible'!D13</x:f>
        <x:v>1004.9608357406477</x:v>
      </x:c>
      <x:c r="F7" s="212" t="n">
        <x:f>IFERROR(E7/'Valuation &amp; Tangible'!D5-1,0)</x:f>
        <x:v>-0.2494691293945872</x:v>
      </x:c>
      <x:c r="G7" s="218" t="n">
        <x:f>'Valuation &amp; Tangible'!D18</x:f>
        <x:v>2.7197049277709042</x:v>
      </x:c>
      <x:c r="H7" s="218" t="n">
        <x:f>MEDIAN('Valuation &amp; Tangible'!B18,'Valuation &amp; Tangible'!C18,'Valuation &amp; Tangible'!E18,'Valuation &amp; Tangible'!F18)</x:f>
        <x:v>1.9819070281151667</x:v>
      </x:c>
      <x:c r="I7" s="212" t="n">
        <x:f>IFERROR(G7/H7-1,0)</x:f>
        <x:v>0.3722666548881448</x:v>
      </x:c>
      <x:c r="J7" s="204" t="n">
        <x:f>H7*'Valuation &amp; Tangible'!D14</x:f>
        <x:v>975.7578785656228</x:v>
      </x:c>
      <x:c r="K7" s="213" t="n">
        <x:f>IFERROR(J7/'Valuation &amp; Tangible'!D5-1,0)</x:f>
        <x:v>-0.27127865678444896</x:v>
      </x:c>
    </x:row>
    <x:row r="8">
      <x:c r="A8" s="270" t="str">
        <x:v>Kotak Mahindra Bank</x:v>
      </x:c>
      <x:c r="B8" s="218" t="n">
        <x:f>'Valuation &amp; Tangible'!E17</x:f>
        <x:v>2.261129341887666</x:v>
      </x:c>
      <x:c r="C8" s="218" t="n">
        <x:f>MEDIAN('Valuation &amp; Tangible'!B17,'Valuation &amp; Tangible'!C17,'Valuation &amp; Tangible'!D17,'Valuation &amp; Tangible'!F17)</x:f>
        <x:v>1.9819070281151667</x:v>
      </x:c>
      <x:c r="D8" s="212" t="n">
        <x:f>IFERROR(B8/C8-1,0)</x:f>
        <x:v>0.14088567718438605</x:v>
      </x:c>
      <x:c r="E8" s="204" t="n">
        <x:f>C8*'Valuation &amp; Tangible'!E13</x:f>
        <x:v>361.1229488100708</x:v>
      </x:c>
      <x:c r="F8" s="212" t="n">
        <x:f>IFERROR(E8/'Valuation &amp; Tangible'!E5-1,0)</x:f>
        <x:v>-0.12348798832507091</x:v>
      </x:c>
      <x:c r="G8" s="218" t="n">
        <x:f>'Valuation &amp; Tangible'!E18</x:f>
        <x:v>2.2730170775041447</x:v>
      </x:c>
      <x:c r="H8" s="218" t="n">
        <x:f>MEDIAN('Valuation &amp; Tangible'!B18,'Valuation &amp; Tangible'!C18,'Valuation &amp; Tangible'!D18,'Valuation &amp; Tangible'!F18)</x:f>
        <x:v>1.9819070281151667</x:v>
      </x:c>
      <x:c r="I8" s="212" t="n">
        <x:f>IFERROR(G8/H8-1,0)</x:f>
        <x:v>0.14688380698958903</x:v>
      </x:c>
      <x:c r="J8" s="204" t="n">
        <x:f>H8*'Valuation &amp; Tangible'!E14</x:f>
        <x:v>359.2342986177849</x:v>
      </x:c>
      <x:c r="K8" s="213" t="n">
        <x:f>IFERROR(J8/'Valuation &amp; Tangible'!E5-1,0)</x:f>
        <x:v>-0.12807209073353187</x:v>
      </x:c>
    </x:row>
    <x:row r="9">
      <x:c r="A9" s="270" t="str">
        <x:v>Federal Bank</x:v>
      </x:c>
      <x:c r="B9" s="218" t="n">
        <x:f>'Valuation &amp; Tangible'!F17</x:f>
        <x:v>2.0490772419648877</x:v>
      </x:c>
      <x:c r="C9" s="218" t="n">
        <x:f>MEDIAN('Valuation &amp; Tangible'!B17,'Valuation &amp; Tangible'!C17,'Valuation &amp; Tangible'!D17,'Valuation &amp; Tangible'!E17)</x:f>
        <x:v>2.087933078076556</x:v>
      </x:c>
      <x:c r="D9" s="212" t="n">
        <x:f>IFERROR(B9/C9-1,0)</x:f>
        <x:v>-0.01860971336660988</x:v>
      </x:c>
      <x:c r="E9" s="204" t="n">
        <x:f>C9*'Valuation &amp; Tangible'!F13</x:f>
        <x:v>339.3145464505663</x:v>
      </x:c>
      <x:c r="F9" s="212" t="n">
        <x:f>IFERROR(E9/'Valuation &amp; Tangible'!F5-1,0)</x:f>
        <x:v>0.018962601953652625</x:v>
      </x:c>
      <x:c r="G9" s="218" t="n">
        <x:f>'Valuation &amp; Tangible'!F18</x:f>
        <x:v>2.0490772419648877</x:v>
      </x:c>
      <x:c r="H9" s="218" t="n">
        <x:f>MEDIAN('Valuation &amp; Tangible'!B18,'Valuation &amp; Tangible'!C18,'Valuation &amp; Tangible'!D18,'Valuation &amp; Tangible'!E18)</x:f>
        <x:v>2.0938769458847952</x:v>
      </x:c>
      <x:c r="I9" s="212" t="n">
        <x:f>IFERROR(G9/H9-1,0)</x:f>
        <x:v>-0.02139557628157407</x:v>
      </x:c>
      <x:c r="J9" s="204" t="n">
        <x:f>H9*'Valuation &amp; Tangible'!F14</x:f>
        <x:v>340.28049733792557</x:v>
      </x:c>
      <x:c r="K9" s="213" t="n">
        <x:f>IFERROR(J9/'Valuation &amp; Tangible'!F5-1,0)</x:f>
        <x:v>0.021863355369145854</x:v>
      </x:c>
    </x:row>
    <x:row r="10">
      <x:c r="A10" s="254"/>
      <x:c r="B10" s="254"/>
      <x:c r="C10" s="254"/>
      <x:c r="D10" s="254"/>
      <x:c r="E10" s="254"/>
      <x:c r="F10" s="254"/>
      <x:c r="G10" s="254"/>
      <x:c r="H10" s="254"/>
      <x:c r="I10" s="254"/>
      <x:c r="J10" s="254"/>
      <x:c r="K10" s="254"/>
    </x:row>
    <x:row r="11">
      <x:c r="A11" s="267" t="str">
        <x:v>Interpretation: Premium / (Discount) compares current multiple with the peer median excluding the target. Implied price applies that peer multiple to the target bank's own BVPS or TBVPS. Negative upside / downside will display in red parentheses.</x:v>
      </x:c>
      <x:c r="B11" s="267"/>
      <x:c r="C11" s="267"/>
      <x:c r="D11" s="267"/>
      <x:c r="E11" s="267"/>
      <x:c r="F11" s="267"/>
      <x:c r="G11" s="267"/>
      <x:c r="H11" s="267"/>
      <x:c r="I11" s="267"/>
      <x:c r="J11" s="267"/>
      <x:c r="K11" s="267"/>
    </x:row>
    <x:row r="12">
      <x:c r="A12" s="267"/>
      <x:c r="B12" s="267"/>
      <x:c r="C12" s="267"/>
      <x:c r="D12" s="267"/>
      <x:c r="E12" s="267"/>
      <x:c r="F12" s="267"/>
      <x:c r="G12" s="267"/>
      <x:c r="H12" s="267"/>
      <x:c r="I12" s="267"/>
      <x:c r="J12" s="267"/>
      <x:c r="K12" s="267"/>
    </x:row>
    <x:row r="13">
      <x:c r="A13" s="267"/>
      <x:c r="B13" s="267"/>
      <x:c r="C13" s="267"/>
      <x:c r="D13" s="267"/>
      <x:c r="E13" s="267"/>
      <x:c r="F13" s="267"/>
      <x:c r="G13" s="267"/>
      <x:c r="H13" s="267"/>
      <x:c r="I13" s="267"/>
      <x:c r="J13" s="267"/>
      <x:c r="K13" s="267"/>
    </x:row>
    <x:row r="14">
      <x:c r="A14" s="254"/>
      <x:c r="B14" s="254"/>
      <x:c r="C14" s="254"/>
      <x:c r="D14" s="254"/>
      <x:c r="E14" s="254"/>
      <x:c r="F14" s="254"/>
      <x:c r="G14" s="254"/>
      <x:c r="H14" s="254"/>
      <x:c r="I14" s="254"/>
      <x:c r="J14" s="254"/>
      <x:c r="K14" s="254"/>
    </x:row>
    <x:row r="15">
      <x:c r="A15" s="254"/>
      <x:c r="B15" s="254"/>
      <x:c r="C15" s="254"/>
      <x:c r="D15" s="254"/>
      <x:c r="E15" s="254"/>
      <x:c r="F15" s="254"/>
      <x:c r="G15" s="254"/>
      <x:c r="H15" s="254"/>
      <x:c r="I15" s="254"/>
      <x:c r="J15" s="254"/>
      <x:c r="K15" s="254"/>
    </x:row>
    <x:row r="16">
      <x:c r="A16" s="254"/>
      <x:c r="B16" s="254"/>
      <x:c r="C16" s="254"/>
      <x:c r="D16" s="254"/>
      <x:c r="E16" s="254"/>
      <x:c r="F16" s="254"/>
      <x:c r="G16" s="254"/>
      <x:c r="H16" s="254"/>
      <x:c r="I16" s="254"/>
      <x:c r="J16" s="254"/>
      <x:c r="K16" s="254"/>
    </x:row>
    <x:row r="17">
      <x:c r="A17" s="254"/>
      <x:c r="B17" s="254"/>
      <x:c r="C17" s="254"/>
      <x:c r="D17" s="254"/>
      <x:c r="E17" s="254"/>
      <x:c r="F17" s="254"/>
      <x:c r="G17" s="254"/>
      <x:c r="H17" s="254"/>
      <x:c r="I17" s="254"/>
      <x:c r="J17" s="254"/>
      <x:c r="K17" s="254"/>
    </x:row>
    <x:row r="18">
      <x:c r="A18" s="254"/>
      <x:c r="B18" s="254"/>
      <x:c r="C18" s="254"/>
      <x:c r="D18" s="254"/>
      <x:c r="E18" s="254"/>
      <x:c r="F18" s="254"/>
      <x:c r="G18" s="254"/>
      <x:c r="H18" s="254"/>
      <x:c r="I18" s="254"/>
      <x:c r="J18" s="254"/>
      <x:c r="K18" s="254"/>
    </x:row>
    <x:row r="19">
      <x:c r="A19" s="254"/>
      <x:c r="B19" s="254"/>
      <x:c r="C19" s="254"/>
      <x:c r="D19" s="254"/>
      <x:c r="E19" s="254"/>
      <x:c r="F19" s="254"/>
      <x:c r="G19" s="254"/>
      <x:c r="H19" s="254"/>
      <x:c r="I19" s="254"/>
      <x:c r="J19" s="254"/>
      <x:c r="K19" s="254"/>
    </x:row>
    <x:row r="20">
      <x:c r="A20" s="254"/>
      <x:c r="B20" s="254"/>
      <x:c r="C20" s="254"/>
      <x:c r="D20" s="254"/>
      <x:c r="E20" s="254"/>
      <x:c r="F20" s="254"/>
      <x:c r="G20" s="254"/>
      <x:c r="H20" s="254"/>
      <x:c r="I20" s="254"/>
      <x:c r="J20" s="254"/>
      <x:c r="K20" s="254"/>
    </x:row>
    <x:row r="21">
      <x:c r="A21" s="254"/>
      <x:c r="B21" s="254"/>
      <x:c r="C21" s="254"/>
      <x:c r="D21" s="254"/>
      <x:c r="E21" s="254"/>
      <x:c r="F21" s="254"/>
      <x:c r="G21" s="254"/>
      <x:c r="H21" s="254"/>
      <x:c r="I21" s="254"/>
      <x:c r="J21" s="254"/>
      <x:c r="K21" s="254"/>
    </x:row>
    <x:row r="22">
      <x:c r="A22" s="254"/>
      <x:c r="B22" s="254"/>
      <x:c r="C22" s="254"/>
      <x:c r="D22" s="254"/>
      <x:c r="E22" s="254"/>
      <x:c r="F22" s="254"/>
      <x:c r="G22" s="254"/>
      <x:c r="H22" s="254"/>
      <x:c r="I22" s="254"/>
      <x:c r="J22" s="254"/>
      <x:c r="K22" s="254"/>
    </x:row>
    <x:row r="23">
      <x:c r="A23" s="254"/>
      <x:c r="B23" s="254"/>
      <x:c r="C23" s="254"/>
      <x:c r="D23" s="254"/>
      <x:c r="E23" s="254"/>
      <x:c r="F23" s="254"/>
      <x:c r="G23" s="254"/>
      <x:c r="H23" s="254"/>
      <x:c r="I23" s="254"/>
      <x:c r="J23" s="254"/>
      <x:c r="K23" s="254"/>
    </x:row>
    <x:row r="24">
      <x:c r="A24" s="254"/>
      <x:c r="B24" s="254"/>
      <x:c r="C24" s="254"/>
      <x:c r="D24" s="254"/>
      <x:c r="E24" s="254"/>
      <x:c r="F24" s="254"/>
      <x:c r="G24" s="254"/>
      <x:c r="H24" s="254"/>
      <x:c r="I24" s="254"/>
      <x:c r="J24" s="254"/>
      <x:c r="K24" s="254"/>
    </x:row>
    <x:row r="25">
      <x:c r="A25" s="254"/>
      <x:c r="B25" s="254"/>
      <x:c r="C25" s="254"/>
      <x:c r="D25" s="254"/>
      <x:c r="E25" s="254"/>
      <x:c r="F25" s="254"/>
      <x:c r="G25" s="254"/>
      <x:c r="H25" s="254"/>
      <x:c r="I25" s="254"/>
      <x:c r="J25" s="254"/>
      <x:c r="K25" s="254"/>
    </x:row>
    <x:row r="26">
      <x:c r="A26" s="254"/>
      <x:c r="B26" s="254"/>
      <x:c r="C26" s="254"/>
      <x:c r="D26" s="254"/>
      <x:c r="E26" s="254"/>
      <x:c r="F26" s="254"/>
      <x:c r="G26" s="254"/>
      <x:c r="H26" s="254"/>
      <x:c r="I26" s="254"/>
      <x:c r="J26" s="254"/>
      <x:c r="K26" s="254"/>
    </x:row>
    <x:row r="27">
      <x:c r="A27" s="254"/>
      <x:c r="B27" s="254"/>
      <x:c r="C27" s="254"/>
      <x:c r="D27" s="254"/>
      <x:c r="E27" s="254"/>
      <x:c r="F27" s="254"/>
      <x:c r="G27" s="254"/>
      <x:c r="H27" s="254"/>
      <x:c r="I27" s="254"/>
      <x:c r="J27" s="254"/>
      <x:c r="K27" s="254"/>
    </x:row>
    <x:row r="28">
      <x:c r="A28" s="254"/>
      <x:c r="B28" s="254"/>
      <x:c r="C28" s="254"/>
      <x:c r="D28" s="254"/>
      <x:c r="E28" s="254"/>
      <x:c r="F28" s="254"/>
      <x:c r="G28" s="254"/>
      <x:c r="H28" s="254"/>
      <x:c r="I28" s="254"/>
      <x:c r="J28" s="254"/>
      <x:c r="K28" s="254"/>
    </x:row>
    <x:row r="29">
      <x:c r="A29" s="254"/>
      <x:c r="B29" s="254"/>
      <x:c r="C29" s="254"/>
      <x:c r="D29" s="254"/>
      <x:c r="E29" s="254"/>
      <x:c r="F29" s="254"/>
      <x:c r="G29" s="254"/>
      <x:c r="H29" s="254"/>
      <x:c r="I29" s="254"/>
      <x:c r="J29" s="254"/>
      <x:c r="K29" s="254"/>
    </x:row>
    <x:row r="30">
      <x:c r="A30" s="254"/>
      <x:c r="B30" s="254"/>
      <x:c r="C30" s="254"/>
      <x:c r="D30" s="254"/>
      <x:c r="E30" s="254"/>
      <x:c r="F30" s="254"/>
      <x:c r="G30" s="254"/>
      <x:c r="H30" s="254"/>
      <x:c r="I30" s="254"/>
      <x:c r="J30" s="254"/>
      <x:c r="K30" s="254"/>
    </x:row>
    <x:row r="31">
      <x:c r="A31" s="254"/>
      <x:c r="B31" s="254"/>
      <x:c r="C31" s="254"/>
      <x:c r="D31" s="254"/>
      <x:c r="E31" s="254"/>
      <x:c r="F31" s="254"/>
      <x:c r="G31" s="254"/>
      <x:c r="H31" s="254"/>
      <x:c r="I31" s="254"/>
      <x:c r="J31" s="254"/>
      <x:c r="K31" s="254"/>
    </x:row>
    <x:row r="32">
      <x:c r="A32" s="254"/>
      <x:c r="B32" s="254"/>
      <x:c r="C32" s="254"/>
      <x:c r="D32" s="254"/>
      <x:c r="E32" s="254"/>
      <x:c r="F32" s="254"/>
      <x:c r="G32" s="254"/>
      <x:c r="H32" s="254"/>
      <x:c r="I32" s="254"/>
      <x:c r="J32" s="254"/>
      <x:c r="K32" s="254"/>
    </x:row>
    <x:row r="33">
      <x:c r="A33" s="254"/>
      <x:c r="B33" s="254"/>
      <x:c r="C33" s="254"/>
      <x:c r="D33" s="254"/>
      <x:c r="E33" s="254"/>
      <x:c r="F33" s="254"/>
      <x:c r="G33" s="254"/>
      <x:c r="H33" s="254"/>
      <x:c r="I33" s="254"/>
      <x:c r="J33" s="254"/>
      <x:c r="K33" s="254"/>
    </x:row>
    <x:row r="34">
      <x:c r="A34" s="254"/>
      <x:c r="B34" s="254"/>
      <x:c r="C34" s="254"/>
      <x:c r="D34" s="254"/>
      <x:c r="E34" s="254"/>
      <x:c r="F34" s="254"/>
      <x:c r="G34" s="254"/>
      <x:c r="H34" s="254"/>
      <x:c r="I34" s="254"/>
      <x:c r="J34" s="254"/>
      <x:c r="K34" s="254"/>
    </x:row>
    <x:row r="35">
      <x:c r="A35" s="254"/>
      <x:c r="B35" s="254"/>
      <x:c r="C35" s="254"/>
      <x:c r="D35" s="254"/>
      <x:c r="E35" s="254"/>
      <x:c r="F35" s="254"/>
      <x:c r="G35" s="254"/>
      <x:c r="H35" s="254"/>
      <x:c r="I35" s="254"/>
      <x:c r="J35" s="254"/>
      <x:c r="K35" s="254"/>
    </x:row>
    <x:row r="36">
      <x:c r="A36" s="254"/>
      <x:c r="B36" s="254"/>
      <x:c r="C36" s="254"/>
      <x:c r="D36" s="254"/>
      <x:c r="E36" s="254"/>
      <x:c r="F36" s="254"/>
      <x:c r="G36" s="254"/>
      <x:c r="H36" s="254"/>
      <x:c r="I36" s="254"/>
      <x:c r="J36" s="254"/>
      <x:c r="K36" s="254"/>
    </x:row>
    <x:row r="37">
      <x:c r="A37" s="254"/>
      <x:c r="B37" s="254"/>
      <x:c r="C37" s="254"/>
      <x:c r="D37" s="254"/>
      <x:c r="E37" s="254"/>
      <x:c r="F37" s="254"/>
      <x:c r="G37" s="254"/>
      <x:c r="H37" s="254"/>
      <x:c r="I37" s="254"/>
      <x:c r="J37" s="254"/>
      <x:c r="K37" s="254"/>
    </x:row>
    <x:row r="38">
      <x:c r="A38" s="254"/>
      <x:c r="B38" s="254"/>
      <x:c r="C38" s="254"/>
      <x:c r="D38" s="254"/>
      <x:c r="E38" s="254"/>
      <x:c r="F38" s="254"/>
      <x:c r="G38" s="254"/>
      <x:c r="H38" s="254"/>
      <x:c r="I38" s="254"/>
      <x:c r="J38" s="254"/>
      <x:c r="K38" s="254"/>
    </x:row>
    <x:row r="39">
      <x:c r="A39" s="254"/>
      <x:c r="B39" s="254"/>
      <x:c r="C39" s="254"/>
      <x:c r="D39" s="254"/>
      <x:c r="E39" s="254"/>
      <x:c r="F39" s="254"/>
      <x:c r="G39" s="254"/>
      <x:c r="H39" s="254"/>
      <x:c r="I39" s="254"/>
      <x:c r="J39" s="254"/>
      <x:c r="K39" s="254"/>
    </x:row>
    <x:row r="40">
      <x:c r="A40" s="254"/>
      <x:c r="B40" s="254"/>
      <x:c r="C40" s="254"/>
      <x:c r="D40" s="254"/>
      <x:c r="E40" s="254"/>
      <x:c r="F40" s="254"/>
      <x:c r="G40" s="254"/>
      <x:c r="H40" s="254"/>
      <x:c r="I40" s="254"/>
      <x:c r="J40" s="254"/>
      <x:c r="K40" s="254"/>
    </x:row>
    <x:row r="41">
      <x:c r="A41" s="254"/>
      <x:c r="B41" s="254"/>
      <x:c r="C41" s="254"/>
      <x:c r="D41" s="254"/>
      <x:c r="E41" s="254"/>
      <x:c r="F41" s="254"/>
      <x:c r="G41" s="254"/>
      <x:c r="H41" s="254"/>
      <x:c r="I41" s="254"/>
      <x:c r="J41" s="254"/>
      <x:c r="K41" s="254"/>
    </x:row>
    <x:row r="42">
      <x:c r="A42" s="254"/>
      <x:c r="B42" s="254"/>
      <x:c r="C42" s="254"/>
      <x:c r="D42" s="254"/>
      <x:c r="E42" s="254"/>
      <x:c r="F42" s="254"/>
      <x:c r="G42" s="254"/>
      <x:c r="H42" s="254"/>
      <x:c r="I42" s="254"/>
      <x:c r="J42" s="254"/>
      <x:c r="K42" s="254"/>
    </x:row>
    <x:row r="43">
      <x:c r="A43" s="254"/>
      <x:c r="B43" s="254"/>
      <x:c r="C43" s="254"/>
      <x:c r="D43" s="254"/>
      <x:c r="E43" s="254"/>
      <x:c r="F43" s="254"/>
      <x:c r="G43" s="254"/>
      <x:c r="H43" s="254"/>
      <x:c r="I43" s="254"/>
      <x:c r="J43" s="254"/>
      <x:c r="K43" s="254"/>
    </x:row>
    <x:row r="44">
      <x:c r="A44" s="254"/>
      <x:c r="B44" s="254"/>
      <x:c r="C44" s="254"/>
      <x:c r="D44" s="254"/>
      <x:c r="E44" s="254"/>
      <x:c r="F44" s="254"/>
      <x:c r="G44" s="254"/>
      <x:c r="H44" s="254"/>
      <x:c r="I44" s="254"/>
      <x:c r="J44" s="254"/>
      <x:c r="K44" s="254"/>
    </x:row>
    <x:row r="45">
      <x:c r="A45" s="254"/>
      <x:c r="B45" s="254"/>
      <x:c r="C45" s="254"/>
      <x:c r="D45" s="254"/>
      <x:c r="E45" s="254"/>
      <x:c r="F45" s="254"/>
      <x:c r="G45" s="254"/>
      <x:c r="H45" s="254"/>
      <x:c r="I45" s="254"/>
      <x:c r="J45" s="254"/>
      <x:c r="K45" s="254"/>
    </x:row>
    <x:row r="46">
      <x:c r="A46" s="254"/>
      <x:c r="B46" s="254"/>
      <x:c r="C46" s="254"/>
      <x:c r="D46" s="254"/>
      <x:c r="E46" s="254"/>
      <x:c r="F46" s="254"/>
      <x:c r="G46" s="254"/>
      <x:c r="H46" s="254"/>
      <x:c r="I46" s="254"/>
      <x:c r="J46" s="254"/>
      <x:c r="K46" s="254"/>
    </x:row>
    <x:row r="47">
      <x:c r="A47" s="254"/>
      <x:c r="B47" s="254"/>
      <x:c r="C47" s="254"/>
      <x:c r="D47" s="254"/>
      <x:c r="E47" s="254"/>
      <x:c r="F47" s="254"/>
      <x:c r="G47" s="254"/>
      <x:c r="H47" s="254"/>
      <x:c r="I47" s="254"/>
      <x:c r="J47" s="254"/>
      <x:c r="K47" s="254"/>
    </x:row>
    <x:row r="48">
      <x:c r="A48" s="254"/>
      <x:c r="B48" s="254"/>
      <x:c r="C48" s="254"/>
      <x:c r="D48" s="254"/>
      <x:c r="E48" s="254"/>
      <x:c r="F48" s="254"/>
      <x:c r="G48" s="254"/>
      <x:c r="H48" s="254"/>
      <x:c r="I48" s="254"/>
      <x:c r="J48" s="254"/>
      <x:c r="K48" s="254"/>
    </x:row>
    <x:row r="49">
      <x:c r="A49" s="254"/>
      <x:c r="B49" s="254"/>
      <x:c r="C49" s="254"/>
      <x:c r="D49" s="254"/>
      <x:c r="E49" s="254"/>
      <x:c r="F49" s="254"/>
      <x:c r="G49" s="254"/>
      <x:c r="H49" s="254"/>
      <x:c r="I49" s="254"/>
      <x:c r="J49" s="254"/>
      <x:c r="K49" s="254"/>
    </x:row>
    <x:row r="50">
      <x:c r="A50" s="254"/>
      <x:c r="B50" s="254"/>
      <x:c r="C50" s="254"/>
      <x:c r="D50" s="254"/>
      <x:c r="E50" s="254"/>
      <x:c r="F50" s="254"/>
      <x:c r="G50" s="254"/>
      <x:c r="H50" s="254"/>
      <x:c r="I50" s="254"/>
      <x:c r="J50" s="254"/>
      <x:c r="K50" s="254"/>
    </x:row>
    <x:row r="51">
      <x:c r="A51" s="254"/>
      <x:c r="B51" s="254"/>
      <x:c r="C51" s="254"/>
      <x:c r="D51" s="254"/>
      <x:c r="E51" s="254"/>
      <x:c r="F51" s="254"/>
      <x:c r="G51" s="254"/>
      <x:c r="H51" s="254"/>
      <x:c r="I51" s="254"/>
      <x:c r="J51" s="254"/>
      <x:c r="K51" s="254"/>
    </x:row>
    <x:row r="52">
      <x:c r="A52" s="254"/>
      <x:c r="B52" s="254"/>
      <x:c r="C52" s="254"/>
      <x:c r="D52" s="254"/>
      <x:c r="E52" s="254"/>
      <x:c r="F52" s="254"/>
      <x:c r="G52" s="254"/>
      <x:c r="H52" s="254"/>
      <x:c r="I52" s="254"/>
      <x:c r="J52" s="254"/>
      <x:c r="K52" s="254"/>
    </x:row>
    <x:row r="53">
      <x:c r="A53" s="254"/>
      <x:c r="B53" s="254"/>
      <x:c r="C53" s="254"/>
      <x:c r="D53" s="254"/>
      <x:c r="E53" s="254"/>
      <x:c r="F53" s="254"/>
      <x:c r="G53" s="254"/>
      <x:c r="H53" s="254"/>
      <x:c r="I53" s="254"/>
      <x:c r="J53" s="254"/>
      <x:c r="K53" s="254"/>
    </x:row>
    <x:row r="54">
      <x:c r="A54" s="254"/>
      <x:c r="B54" s="254"/>
      <x:c r="C54" s="254"/>
      <x:c r="D54" s="254"/>
      <x:c r="E54" s="254"/>
      <x:c r="F54" s="254"/>
      <x:c r="G54" s="254"/>
      <x:c r="H54" s="254"/>
      <x:c r="I54" s="254"/>
      <x:c r="J54" s="254"/>
      <x:c r="K54" s="254"/>
    </x:row>
    <x:row r="55">
      <x:c r="A55" s="254"/>
      <x:c r="B55" s="254"/>
      <x:c r="C55" s="254"/>
      <x:c r="D55" s="254"/>
      <x:c r="E55" s="254"/>
      <x:c r="F55" s="254"/>
      <x:c r="G55" s="254"/>
      <x:c r="H55" s="254"/>
      <x:c r="I55" s="254"/>
      <x:c r="J55" s="254"/>
      <x:c r="K55" s="254"/>
    </x:row>
    <x:row r="56">
      <x:c r="A56" s="254"/>
      <x:c r="B56" s="254"/>
      <x:c r="C56" s="254"/>
      <x:c r="D56" s="254"/>
      <x:c r="E56" s="254"/>
      <x:c r="F56" s="254"/>
      <x:c r="G56" s="254"/>
      <x:c r="H56" s="254"/>
      <x:c r="I56" s="254"/>
      <x:c r="J56" s="254"/>
      <x:c r="K56" s="254"/>
    </x:row>
    <x:row r="57">
      <x:c r="A57" s="254"/>
      <x:c r="B57" s="254"/>
      <x:c r="C57" s="254"/>
      <x:c r="D57" s="254"/>
      <x:c r="E57" s="254"/>
      <x:c r="F57" s="254"/>
      <x:c r="G57" s="254"/>
      <x:c r="H57" s="254"/>
      <x:c r="I57" s="254"/>
      <x:c r="J57" s="254"/>
      <x:c r="K57" s="254"/>
    </x:row>
    <x:row r="58">
      <x:c r="A58" s="254"/>
      <x:c r="B58" s="254"/>
      <x:c r="C58" s="254"/>
      <x:c r="D58" s="254"/>
      <x:c r="E58" s="254"/>
      <x:c r="F58" s="254"/>
      <x:c r="G58" s="254"/>
      <x:c r="H58" s="254"/>
      <x:c r="I58" s="254"/>
      <x:c r="J58" s="254"/>
      <x:c r="K58" s="254"/>
    </x:row>
    <x:row r="59">
      <x:c r="A59" s="254"/>
      <x:c r="B59" s="254"/>
      <x:c r="C59" s="254"/>
      <x:c r="D59" s="254"/>
      <x:c r="E59" s="254"/>
      <x:c r="F59" s="254"/>
      <x:c r="G59" s="254"/>
      <x:c r="H59" s="254"/>
      <x:c r="I59" s="254"/>
      <x:c r="J59" s="254"/>
      <x:c r="K59" s="254"/>
    </x:row>
    <x:row r="60">
      <x:c r="A60" s="254"/>
      <x:c r="B60" s="254"/>
      <x:c r="C60" s="254"/>
      <x:c r="D60" s="254"/>
      <x:c r="E60" s="254"/>
      <x:c r="F60" s="254"/>
      <x:c r="G60" s="254"/>
      <x:c r="H60" s="254"/>
      <x:c r="I60" s="254"/>
      <x:c r="J60" s="254"/>
      <x:c r="K60" s="254"/>
    </x:row>
    <x:row r="61">
      <x:c r="A61" s="254"/>
      <x:c r="B61" s="254"/>
      <x:c r="C61" s="254"/>
      <x:c r="D61" s="254"/>
      <x:c r="E61" s="254"/>
      <x:c r="F61" s="254"/>
      <x:c r="G61" s="254"/>
      <x:c r="H61" s="254"/>
      <x:c r="I61" s="254"/>
      <x:c r="J61" s="254"/>
      <x:c r="K61" s="254"/>
    </x:row>
    <x:row r="62">
      <x:c r="A62" s="254"/>
      <x:c r="B62" s="254"/>
      <x:c r="C62" s="254"/>
      <x:c r="D62" s="254"/>
      <x:c r="E62" s="254"/>
      <x:c r="F62" s="254"/>
      <x:c r="G62" s="254"/>
      <x:c r="H62" s="254"/>
      <x:c r="I62" s="254"/>
      <x:c r="J62" s="254"/>
      <x:c r="K62" s="254"/>
    </x:row>
    <x:row r="63">
      <x:c r="A63" s="254"/>
      <x:c r="B63" s="254"/>
      <x:c r="C63" s="254"/>
      <x:c r="D63" s="254"/>
      <x:c r="E63" s="254"/>
      <x:c r="F63" s="254"/>
      <x:c r="G63" s="254"/>
      <x:c r="H63" s="254"/>
      <x:c r="I63" s="254"/>
      <x:c r="J63" s="254"/>
      <x:c r="K63" s="254"/>
    </x:row>
    <x:row r="64">
      <x:c r="A64" s="254"/>
      <x:c r="B64" s="254"/>
      <x:c r="C64" s="254"/>
      <x:c r="D64" s="254"/>
      <x:c r="E64" s="254"/>
      <x:c r="F64" s="254"/>
      <x:c r="G64" s="254"/>
      <x:c r="H64" s="254"/>
      <x:c r="I64" s="254"/>
      <x:c r="J64" s="254"/>
      <x:c r="K64" s="254"/>
    </x:row>
    <x:row r="65">
      <x:c r="A65" s="254"/>
      <x:c r="B65" s="254"/>
      <x:c r="C65" s="254"/>
      <x:c r="D65" s="254"/>
      <x:c r="E65" s="254"/>
      <x:c r="F65" s="254"/>
      <x:c r="G65" s="254"/>
      <x:c r="H65" s="254"/>
      <x:c r="I65" s="254"/>
      <x:c r="J65" s="254"/>
      <x:c r="K65" s="254"/>
    </x:row>
    <x:row r="66">
      <x:c r="A66" s="254"/>
      <x:c r="B66" s="254"/>
      <x:c r="C66" s="254"/>
      <x:c r="D66" s="254"/>
      <x:c r="E66" s="254"/>
      <x:c r="F66" s="254"/>
      <x:c r="G66" s="254"/>
      <x:c r="H66" s="254"/>
      <x:c r="I66" s="254"/>
      <x:c r="J66" s="254"/>
      <x:c r="K66" s="254"/>
    </x:row>
    <x:row r="67">
      <x:c r="A67" s="254"/>
      <x:c r="B67" s="254"/>
      <x:c r="C67" s="254"/>
      <x:c r="D67" s="254"/>
      <x:c r="E67" s="254"/>
      <x:c r="F67" s="254"/>
      <x:c r="G67" s="254"/>
      <x:c r="H67" s="254"/>
      <x:c r="I67" s="254"/>
      <x:c r="J67" s="254"/>
      <x:c r="K67" s="254"/>
    </x:row>
    <x:row r="68">
      <x:c r="A68" s="254"/>
      <x:c r="B68" s="254"/>
      <x:c r="C68" s="254"/>
      <x:c r="D68" s="254"/>
      <x:c r="E68" s="254"/>
      <x:c r="F68" s="254"/>
      <x:c r="G68" s="254"/>
      <x:c r="H68" s="254"/>
      <x:c r="I68" s="254"/>
      <x:c r="J68" s="254"/>
      <x:c r="K68" s="254"/>
    </x:row>
    <x:row r="69">
      <x:c r="A69" s="254"/>
      <x:c r="B69" s="254"/>
      <x:c r="C69" s="254"/>
      <x:c r="D69" s="254"/>
      <x:c r="E69" s="254"/>
      <x:c r="F69" s="254"/>
      <x:c r="G69" s="254"/>
      <x:c r="H69" s="254"/>
      <x:c r="I69" s="254"/>
      <x:c r="J69" s="254"/>
      <x:c r="K69" s="254"/>
    </x:row>
    <x:row r="70">
      <x:c r="A70" s="254"/>
      <x:c r="B70" s="254"/>
      <x:c r="C70" s="254"/>
      <x:c r="D70" s="254"/>
      <x:c r="E70" s="254"/>
      <x:c r="F70" s="254"/>
      <x:c r="G70" s="254"/>
      <x:c r="H70" s="254"/>
      <x:c r="I70" s="254"/>
      <x:c r="J70" s="254"/>
      <x:c r="K70" s="254"/>
    </x:row>
    <x:row r="71">
      <x:c r="A71" s="254"/>
      <x:c r="B71" s="254"/>
      <x:c r="C71" s="254"/>
      <x:c r="D71" s="254"/>
      <x:c r="E71" s="254"/>
      <x:c r="F71" s="254"/>
      <x:c r="G71" s="254"/>
      <x:c r="H71" s="254"/>
      <x:c r="I71" s="254"/>
      <x:c r="J71" s="254"/>
      <x:c r="K71" s="254"/>
    </x:row>
    <x:row r="72">
      <x:c r="A72" s="254"/>
      <x:c r="B72" s="254"/>
      <x:c r="C72" s="254"/>
      <x:c r="D72" s="254"/>
      <x:c r="E72" s="254"/>
      <x:c r="F72" s="254"/>
      <x:c r="G72" s="254"/>
      <x:c r="H72" s="254"/>
      <x:c r="I72" s="254"/>
      <x:c r="J72" s="254"/>
      <x:c r="K72" s="254"/>
    </x:row>
    <x:row r="73">
      <x:c r="A73" s="254"/>
      <x:c r="B73" s="254"/>
      <x:c r="C73" s="254"/>
      <x:c r="D73" s="254"/>
      <x:c r="E73" s="254"/>
      <x:c r="F73" s="254"/>
      <x:c r="G73" s="254"/>
      <x:c r="H73" s="254"/>
      <x:c r="I73" s="254"/>
      <x:c r="J73" s="254"/>
      <x:c r="K73" s="254"/>
    </x:row>
    <x:row r="74">
      <x:c r="A74" s="254"/>
      <x:c r="B74" s="254"/>
      <x:c r="C74" s="254"/>
      <x:c r="D74" s="254"/>
      <x:c r="E74" s="254"/>
      <x:c r="F74" s="254"/>
      <x:c r="G74" s="254"/>
      <x:c r="H74" s="254"/>
      <x:c r="I74" s="254"/>
      <x:c r="J74" s="254"/>
      <x:c r="K74" s="254"/>
    </x:row>
    <x:row r="75">
      <x:c r="A75" s="254"/>
      <x:c r="B75" s="254"/>
      <x:c r="C75" s="254"/>
      <x:c r="D75" s="254"/>
      <x:c r="E75" s="254"/>
      <x:c r="F75" s="254"/>
      <x:c r="G75" s="254"/>
      <x:c r="H75" s="254"/>
      <x:c r="I75" s="254"/>
      <x:c r="J75" s="254"/>
      <x:c r="K75" s="254"/>
    </x:row>
    <x:row r="76">
      <x:c r="A76" s="254"/>
      <x:c r="B76" s="254"/>
      <x:c r="C76" s="254"/>
      <x:c r="D76" s="254"/>
      <x:c r="E76" s="254"/>
      <x:c r="F76" s="254"/>
      <x:c r="G76" s="254"/>
      <x:c r="H76" s="254"/>
      <x:c r="I76" s="254"/>
      <x:c r="J76" s="254"/>
      <x:c r="K76" s="254"/>
    </x:row>
    <x:row r="77">
      <x:c r="A77" s="254"/>
      <x:c r="B77" s="254"/>
      <x:c r="C77" s="254"/>
      <x:c r="D77" s="254"/>
      <x:c r="E77" s="254"/>
      <x:c r="F77" s="254"/>
      <x:c r="G77" s="254"/>
      <x:c r="H77" s="254"/>
      <x:c r="I77" s="254"/>
      <x:c r="J77" s="254"/>
      <x:c r="K77" s="254"/>
    </x:row>
    <x:row r="78">
      <x:c r="A78" s="254"/>
      <x:c r="B78" s="254"/>
      <x:c r="C78" s="254"/>
      <x:c r="D78" s="254"/>
      <x:c r="E78" s="254"/>
      <x:c r="F78" s="254"/>
      <x:c r="G78" s="254"/>
      <x:c r="H78" s="254"/>
      <x:c r="I78" s="254"/>
      <x:c r="J78" s="254"/>
      <x:c r="K78" s="254"/>
    </x:row>
    <x:row r="79">
      <x:c r="A79" s="254"/>
      <x:c r="B79" s="254"/>
      <x:c r="C79" s="254"/>
      <x:c r="D79" s="254"/>
      <x:c r="E79" s="254"/>
      <x:c r="F79" s="254"/>
      <x:c r="G79" s="254"/>
      <x:c r="H79" s="254"/>
      <x:c r="I79" s="254"/>
      <x:c r="J79" s="254"/>
      <x:c r="K79" s="254"/>
    </x:row>
    <x:row r="80">
      <x:c r="A80" s="254"/>
      <x:c r="B80" s="254"/>
      <x:c r="C80" s="254"/>
      <x:c r="D80" s="254"/>
      <x:c r="E80" s="254"/>
      <x:c r="F80" s="254"/>
      <x:c r="G80" s="254"/>
      <x:c r="H80" s="254"/>
      <x:c r="I80" s="254"/>
      <x:c r="J80" s="254"/>
      <x:c r="K80" s="254"/>
    </x:row>
    <x:row r="81">
      <x:c r="A81" s="254"/>
      <x:c r="B81" s="254"/>
      <x:c r="C81" s="254"/>
      <x:c r="D81" s="254"/>
      <x:c r="E81" s="254"/>
      <x:c r="F81" s="254"/>
      <x:c r="G81" s="254"/>
      <x:c r="H81" s="254"/>
      <x:c r="I81" s="254"/>
      <x:c r="J81" s="254"/>
      <x:c r="K81" s="254"/>
    </x:row>
    <x:row r="82">
      <x:c r="A82" s="254"/>
      <x:c r="B82" s="254"/>
      <x:c r="C82" s="254"/>
      <x:c r="D82" s="254"/>
      <x:c r="E82" s="254"/>
      <x:c r="F82" s="254"/>
      <x:c r="G82" s="254"/>
      <x:c r="H82" s="254"/>
      <x:c r="I82" s="254"/>
      <x:c r="J82" s="254"/>
      <x:c r="K82" s="254"/>
    </x:row>
    <x:row r="83">
      <x:c r="A83" s="254"/>
      <x:c r="B83" s="254"/>
      <x:c r="C83" s="254"/>
      <x:c r="D83" s="254"/>
      <x:c r="E83" s="254"/>
      <x:c r="F83" s="254"/>
      <x:c r="G83" s="254"/>
      <x:c r="H83" s="254"/>
      <x:c r="I83" s="254"/>
      <x:c r="J83" s="254"/>
      <x:c r="K83" s="254"/>
    </x:row>
    <x:row r="84">
      <x:c r="A84" s="254"/>
      <x:c r="B84" s="254"/>
      <x:c r="C84" s="254"/>
      <x:c r="D84" s="254"/>
      <x:c r="E84" s="254"/>
      <x:c r="F84" s="254"/>
      <x:c r="G84" s="254"/>
      <x:c r="H84" s="254"/>
      <x:c r="I84" s="254"/>
      <x:c r="J84" s="254"/>
      <x:c r="K84" s="254"/>
    </x:row>
    <x:row r="85">
      <x:c r="A85" s="254"/>
      <x:c r="B85" s="254"/>
      <x:c r="C85" s="254"/>
      <x:c r="D85" s="254"/>
      <x:c r="E85" s="254"/>
      <x:c r="F85" s="254"/>
      <x:c r="G85" s="254"/>
      <x:c r="H85" s="254"/>
      <x:c r="I85" s="254"/>
      <x:c r="J85" s="254"/>
      <x:c r="K85" s="254"/>
    </x:row>
    <x:row r="86">
      <x:c r="A86" s="254"/>
      <x:c r="B86" s="254"/>
      <x:c r="C86" s="254"/>
      <x:c r="D86" s="254"/>
      <x:c r="E86" s="254"/>
      <x:c r="F86" s="254"/>
      <x:c r="G86" s="254"/>
      <x:c r="H86" s="254"/>
      <x:c r="I86" s="254"/>
      <x:c r="J86" s="254"/>
      <x:c r="K86" s="254"/>
    </x:row>
    <x:row r="87">
      <x:c r="A87" s="254"/>
      <x:c r="B87" s="254"/>
      <x:c r="C87" s="254"/>
      <x:c r="D87" s="254"/>
      <x:c r="E87" s="254"/>
      <x:c r="F87" s="254"/>
      <x:c r="G87" s="254"/>
      <x:c r="H87" s="254"/>
      <x:c r="I87" s="254"/>
      <x:c r="J87" s="254"/>
      <x:c r="K87" s="254"/>
    </x:row>
    <x:row r="88">
      <x:c r="A88" s="254"/>
      <x:c r="B88" s="254"/>
      <x:c r="C88" s="254"/>
      <x:c r="D88" s="254"/>
      <x:c r="E88" s="254"/>
      <x:c r="F88" s="254"/>
      <x:c r="G88" s="254"/>
      <x:c r="H88" s="254"/>
      <x:c r="I88" s="254"/>
      <x:c r="J88" s="254"/>
      <x:c r="K88" s="254"/>
    </x:row>
    <x:row r="89">
      <x:c r="A89" s="254"/>
      <x:c r="B89" s="254"/>
      <x:c r="C89" s="254"/>
      <x:c r="D89" s="254"/>
      <x:c r="E89" s="254"/>
      <x:c r="F89" s="254"/>
      <x:c r="G89" s="254"/>
      <x:c r="H89" s="254"/>
      <x:c r="I89" s="254"/>
      <x:c r="J89" s="254"/>
      <x:c r="K89" s="254"/>
    </x:row>
    <x:row r="90">
      <x:c r="A90" s="254"/>
      <x:c r="B90" s="254"/>
      <x:c r="C90" s="254"/>
      <x:c r="D90" s="254"/>
      <x:c r="E90" s="254"/>
      <x:c r="F90" s="254"/>
      <x:c r="G90" s="254"/>
      <x:c r="H90" s="254"/>
      <x:c r="I90" s="254"/>
      <x:c r="J90" s="254"/>
      <x:c r="K90" s="254"/>
    </x:row>
    <x:row r="91">
      <x:c r="A91" s="254"/>
      <x:c r="B91" s="254"/>
      <x:c r="C91" s="254"/>
      <x:c r="D91" s="254"/>
      <x:c r="E91" s="254"/>
      <x:c r="F91" s="254"/>
      <x:c r="G91" s="254"/>
      <x:c r="H91" s="254"/>
      <x:c r="I91" s="254"/>
      <x:c r="J91" s="254"/>
      <x:c r="K91" s="254"/>
    </x:row>
    <x:row r="92">
      <x:c r="A92" s="254"/>
      <x:c r="B92" s="254"/>
      <x:c r="C92" s="254"/>
      <x:c r="D92" s="254"/>
      <x:c r="E92" s="254"/>
      <x:c r="F92" s="254"/>
      <x:c r="G92" s="254"/>
      <x:c r="H92" s="254"/>
      <x:c r="I92" s="254"/>
      <x:c r="J92" s="254"/>
      <x:c r="K92" s="254"/>
    </x:row>
    <x:row r="93">
      <x:c r="A93" s="254"/>
      <x:c r="B93" s="254"/>
      <x:c r="C93" s="254"/>
      <x:c r="D93" s="254"/>
      <x:c r="E93" s="254"/>
      <x:c r="F93" s="254"/>
      <x:c r="G93" s="254"/>
      <x:c r="H93" s="254"/>
      <x:c r="I93" s="254"/>
      <x:c r="J93" s="254"/>
      <x:c r="K93" s="254"/>
    </x:row>
    <x:row r="94">
      <x:c r="A94" s="254"/>
      <x:c r="B94" s="254"/>
      <x:c r="C94" s="254"/>
      <x:c r="D94" s="254"/>
      <x:c r="E94" s="254"/>
      <x:c r="F94" s="254"/>
      <x:c r="G94" s="254"/>
      <x:c r="H94" s="254"/>
      <x:c r="I94" s="254"/>
      <x:c r="J94" s="254"/>
      <x:c r="K94" s="254"/>
    </x:row>
    <x:row r="95">
      <x:c r="A95" s="254"/>
      <x:c r="B95" s="254"/>
      <x:c r="C95" s="254"/>
      <x:c r="D95" s="254"/>
      <x:c r="E95" s="254"/>
      <x:c r="F95" s="254"/>
      <x:c r="G95" s="254"/>
      <x:c r="H95" s="254"/>
      <x:c r="I95" s="254"/>
      <x:c r="J95" s="254"/>
      <x:c r="K95" s="254"/>
    </x:row>
    <x:row r="96">
      <x:c r="A96" s="254"/>
      <x:c r="B96" s="254"/>
      <x:c r="C96" s="254"/>
      <x:c r="D96" s="254"/>
      <x:c r="E96" s="254"/>
      <x:c r="F96" s="254"/>
      <x:c r="G96" s="254"/>
      <x:c r="H96" s="254"/>
      <x:c r="I96" s="254"/>
      <x:c r="J96" s="254"/>
      <x:c r="K96" s="254"/>
    </x:row>
    <x:row r="97">
      <x:c r="A97" s="254"/>
      <x:c r="B97" s="254"/>
      <x:c r="C97" s="254"/>
      <x:c r="D97" s="254"/>
      <x:c r="E97" s="254"/>
      <x:c r="F97" s="254"/>
      <x:c r="G97" s="254"/>
      <x:c r="H97" s="254"/>
      <x:c r="I97" s="254"/>
      <x:c r="J97" s="254"/>
      <x:c r="K97" s="254"/>
    </x:row>
    <x:row r="98">
      <x:c r="A98" s="254"/>
      <x:c r="B98" s="254"/>
      <x:c r="C98" s="254"/>
      <x:c r="D98" s="254"/>
      <x:c r="E98" s="254"/>
      <x:c r="F98" s="254"/>
      <x:c r="G98" s="254"/>
      <x:c r="H98" s="254"/>
      <x:c r="I98" s="254"/>
      <x:c r="J98" s="254"/>
      <x:c r="K98" s="254"/>
    </x:row>
    <x:row r="99">
      <x:c r="A99" s="254"/>
      <x:c r="B99" s="254"/>
      <x:c r="C99" s="254"/>
      <x:c r="D99" s="254"/>
      <x:c r="E99" s="254"/>
      <x:c r="F99" s="254"/>
      <x:c r="G99" s="254"/>
      <x:c r="H99" s="254"/>
      <x:c r="I99" s="254"/>
      <x:c r="J99" s="254"/>
      <x:c r="K99" s="254"/>
    </x:row>
    <x:row r="100">
      <x:c r="A100" s="254"/>
      <x:c r="B100" s="254"/>
      <x:c r="C100" s="254"/>
      <x:c r="D100" s="254"/>
      <x:c r="E100" s="254"/>
      <x:c r="F100" s="254"/>
      <x:c r="G100" s="254"/>
      <x:c r="H100" s="254"/>
      <x:c r="I100" s="254"/>
      <x:c r="J100" s="254"/>
      <x:c r="K100" s="254"/>
    </x:row>
    <x:row r="101">
      <x:c r="A101" s="254"/>
      <x:c r="B101" s="254"/>
      <x:c r="C101" s="254"/>
      <x:c r="D101" s="254"/>
      <x:c r="E101" s="254"/>
      <x:c r="F101" s="254"/>
      <x:c r="G101" s="254"/>
      <x:c r="H101" s="254"/>
      <x:c r="I101" s="254"/>
      <x:c r="J101" s="254"/>
      <x:c r="K101" s="254"/>
    </x:row>
    <x:row r="102">
      <x:c r="A102" s="254"/>
      <x:c r="B102" s="254"/>
      <x:c r="C102" s="254"/>
      <x:c r="D102" s="254"/>
      <x:c r="E102" s="254"/>
      <x:c r="F102" s="254"/>
      <x:c r="G102" s="254"/>
      <x:c r="H102" s="254"/>
      <x:c r="I102" s="254"/>
      <x:c r="J102" s="254"/>
      <x:c r="K102" s="254"/>
    </x:row>
    <x:row r="103">
      <x:c r="A103" s="254"/>
      <x:c r="B103" s="254"/>
      <x:c r="C103" s="254"/>
      <x:c r="D103" s="254"/>
      <x:c r="E103" s="254"/>
      <x:c r="F103" s="254"/>
      <x:c r="G103" s="254"/>
      <x:c r="H103" s="254"/>
      <x:c r="I103" s="254"/>
      <x:c r="J103" s="254"/>
      <x:c r="K103" s="254"/>
    </x:row>
    <x:row r="104">
      <x:c r="A104" s="254"/>
      <x:c r="B104" s="254"/>
      <x:c r="C104" s="254"/>
      <x:c r="D104" s="254"/>
      <x:c r="E104" s="254"/>
      <x:c r="F104" s="254"/>
      <x:c r="G104" s="254"/>
      <x:c r="H104" s="254"/>
      <x:c r="I104" s="254"/>
      <x:c r="J104" s="254"/>
      <x:c r="K104" s="254"/>
    </x:row>
    <x:row r="105">
      <x:c r="A105" s="254"/>
      <x:c r="B105" s="254"/>
      <x:c r="C105" s="254"/>
      <x:c r="D105" s="254"/>
      <x:c r="E105" s="254"/>
      <x:c r="F105" s="254"/>
      <x:c r="G105" s="254"/>
      <x:c r="H105" s="254"/>
      <x:c r="I105" s="254"/>
      <x:c r="J105" s="254"/>
      <x:c r="K105" s="254"/>
    </x:row>
    <x:row r="106">
      <x:c r="A106" s="254"/>
      <x:c r="B106" s="254"/>
      <x:c r="C106" s="254"/>
      <x:c r="D106" s="254"/>
      <x:c r="E106" s="254"/>
      <x:c r="F106" s="254"/>
      <x:c r="G106" s="254"/>
      <x:c r="H106" s="254"/>
      <x:c r="I106" s="254"/>
      <x:c r="J106" s="254"/>
      <x:c r="K106" s="254"/>
    </x:row>
    <x:row r="107">
      <x:c r="A107" s="254"/>
      <x:c r="B107" s="254"/>
      <x:c r="C107" s="254"/>
      <x:c r="D107" s="254"/>
      <x:c r="E107" s="254"/>
      <x:c r="F107" s="254"/>
      <x:c r="G107" s="254"/>
      <x:c r="H107" s="254"/>
      <x:c r="I107" s="254"/>
      <x:c r="J107" s="254"/>
      <x:c r="K107" s="254"/>
    </x:row>
    <x:row r="108">
      <x:c r="A108" s="254"/>
      <x:c r="B108" s="254"/>
      <x:c r="C108" s="254"/>
      <x:c r="D108" s="254"/>
      <x:c r="E108" s="254"/>
      <x:c r="F108" s="254"/>
      <x:c r="G108" s="254"/>
      <x:c r="H108" s="254"/>
      <x:c r="I108" s="254"/>
      <x:c r="J108" s="254"/>
      <x:c r="K108" s="254"/>
    </x:row>
    <x:row r="109">
      <x:c r="A109" s="254"/>
      <x:c r="B109" s="254"/>
      <x:c r="C109" s="254"/>
      <x:c r="D109" s="254"/>
      <x:c r="E109" s="254"/>
      <x:c r="F109" s="254"/>
      <x:c r="G109" s="254"/>
      <x:c r="H109" s="254"/>
      <x:c r="I109" s="254"/>
      <x:c r="J109" s="254"/>
      <x:c r="K109" s="254"/>
    </x:row>
    <x:row r="110">
      <x:c r="A110" s="254"/>
      <x:c r="B110" s="254"/>
      <x:c r="C110" s="254"/>
      <x:c r="D110" s="254"/>
      <x:c r="E110" s="254"/>
      <x:c r="F110" s="254"/>
      <x:c r="G110" s="254"/>
      <x:c r="H110" s="254"/>
      <x:c r="I110" s="254"/>
      <x:c r="J110" s="254"/>
      <x:c r="K110" s="254"/>
    </x:row>
    <x:row r="111">
      <x:c r="A111" s="254"/>
      <x:c r="B111" s="254"/>
      <x:c r="C111" s="254"/>
      <x:c r="D111" s="254"/>
      <x:c r="E111" s="254"/>
      <x:c r="F111" s="254"/>
      <x:c r="G111" s="254"/>
      <x:c r="H111" s="254"/>
      <x:c r="I111" s="254"/>
      <x:c r="J111" s="254"/>
      <x:c r="K111" s="254"/>
    </x:row>
    <x:row r="112">
      <x:c r="A112" s="254"/>
      <x:c r="B112" s="254"/>
      <x:c r="C112" s="254"/>
      <x:c r="D112" s="254"/>
      <x:c r="E112" s="254"/>
      <x:c r="F112" s="254"/>
      <x:c r="G112" s="254"/>
      <x:c r="H112" s="254"/>
      <x:c r="I112" s="254"/>
      <x:c r="J112" s="254"/>
      <x:c r="K112" s="254"/>
    </x:row>
    <x:row r="113">
      <x:c r="A113" s="254"/>
      <x:c r="B113" s="254"/>
      <x:c r="C113" s="254"/>
      <x:c r="D113" s="254"/>
      <x:c r="E113" s="254"/>
      <x:c r="F113" s="254"/>
      <x:c r="G113" s="254"/>
      <x:c r="H113" s="254"/>
      <x:c r="I113" s="254"/>
      <x:c r="J113" s="254"/>
      <x:c r="K113" s="254"/>
    </x:row>
    <x:row r="114">
      <x:c r="A114" s="254"/>
      <x:c r="B114" s="254"/>
      <x:c r="C114" s="254"/>
      <x:c r="D114" s="254"/>
      <x:c r="E114" s="254"/>
      <x:c r="F114" s="254"/>
      <x:c r="G114" s="254"/>
      <x:c r="H114" s="254"/>
      <x:c r="I114" s="254"/>
      <x:c r="J114" s="254"/>
      <x:c r="K114" s="254"/>
    </x:row>
    <x:row r="115">
      <x:c r="A115" s="254"/>
      <x:c r="B115" s="254"/>
      <x:c r="C115" s="254"/>
      <x:c r="D115" s="254"/>
      <x:c r="E115" s="254"/>
      <x:c r="F115" s="254"/>
      <x:c r="G115" s="254"/>
      <x:c r="H115" s="254"/>
      <x:c r="I115" s="254"/>
      <x:c r="J115" s="254"/>
      <x:c r="K115" s="254"/>
    </x:row>
    <x:row r="116">
      <x:c r="A116" s="254"/>
      <x:c r="B116" s="254"/>
      <x:c r="C116" s="254"/>
      <x:c r="D116" s="254"/>
      <x:c r="E116" s="254"/>
      <x:c r="F116" s="254"/>
      <x:c r="G116" s="254"/>
      <x:c r="H116" s="254"/>
      <x:c r="I116" s="254"/>
      <x:c r="J116" s="254"/>
      <x:c r="K116" s="254"/>
    </x:row>
    <x:row r="117">
      <x:c r="A117" s="254"/>
      <x:c r="B117" s="254"/>
      <x:c r="C117" s="254"/>
      <x:c r="D117" s="254"/>
      <x:c r="E117" s="254"/>
      <x:c r="F117" s="254"/>
      <x:c r="G117" s="254"/>
      <x:c r="H117" s="254"/>
      <x:c r="I117" s="254"/>
      <x:c r="J117" s="254"/>
      <x:c r="K117" s="254"/>
    </x:row>
    <x:row r="118">
      <x:c r="A118" s="254"/>
      <x:c r="B118" s="254"/>
      <x:c r="C118" s="254"/>
      <x:c r="D118" s="254"/>
      <x:c r="E118" s="254"/>
      <x:c r="F118" s="254"/>
      <x:c r="G118" s="254"/>
      <x:c r="H118" s="254"/>
      <x:c r="I118" s="254"/>
      <x:c r="J118" s="254"/>
      <x:c r="K118" s="254"/>
    </x:row>
    <x:row r="119">
      <x:c r="A119" s="254"/>
      <x:c r="B119" s="254"/>
      <x:c r="C119" s="254"/>
      <x:c r="D119" s="254"/>
      <x:c r="E119" s="254"/>
      <x:c r="F119" s="254"/>
      <x:c r="G119" s="254"/>
      <x:c r="H119" s="254"/>
      <x:c r="I119" s="254"/>
      <x:c r="J119" s="254"/>
      <x:c r="K119" s="254"/>
    </x:row>
    <x:row r="120">
      <x:c r="A120" s="254"/>
      <x:c r="B120" s="254"/>
      <x:c r="C120" s="254"/>
      <x:c r="D120" s="254"/>
      <x:c r="E120" s="254"/>
      <x:c r="F120" s="254"/>
      <x:c r="G120" s="254"/>
      <x:c r="H120" s="254"/>
      <x:c r="I120" s="254"/>
      <x:c r="J120" s="254"/>
      <x:c r="K120" s="254"/>
    </x:row>
    <x:row r="121">
      <x:c r="A121" s="254"/>
      <x:c r="B121" s="254"/>
      <x:c r="C121" s="254"/>
      <x:c r="D121" s="254"/>
      <x:c r="E121" s="254"/>
      <x:c r="F121" s="254"/>
      <x:c r="G121" s="254"/>
      <x:c r="H121" s="254"/>
      <x:c r="I121" s="254"/>
      <x:c r="J121" s="254"/>
      <x:c r="K121" s="254"/>
    </x:row>
    <x:row r="122">
      <x:c r="A122" s="254"/>
      <x:c r="B122" s="254"/>
      <x:c r="C122" s="254"/>
      <x:c r="D122" s="254"/>
      <x:c r="E122" s="254"/>
      <x:c r="F122" s="254"/>
      <x:c r="G122" s="254"/>
      <x:c r="H122" s="254"/>
      <x:c r="I122" s="254"/>
      <x:c r="J122" s="254"/>
      <x:c r="K122" s="254"/>
    </x:row>
    <x:row r="123">
      <x:c r="A123" s="254"/>
      <x:c r="B123" s="254"/>
      <x:c r="C123" s="254"/>
      <x:c r="D123" s="254"/>
      <x:c r="E123" s="254"/>
      <x:c r="F123" s="254"/>
      <x:c r="G123" s="254"/>
      <x:c r="H123" s="254"/>
      <x:c r="I123" s="254"/>
      <x:c r="J123" s="254"/>
      <x:c r="K123" s="254"/>
    </x:row>
    <x:row r="124">
      <x:c r="A124" s="254"/>
      <x:c r="B124" s="254"/>
      <x:c r="C124" s="254"/>
      <x:c r="D124" s="254"/>
      <x:c r="E124" s="254"/>
      <x:c r="F124" s="254"/>
      <x:c r="G124" s="254"/>
      <x:c r="H124" s="254"/>
      <x:c r="I124" s="254"/>
      <x:c r="J124" s="254"/>
      <x:c r="K124" s="254"/>
    </x:row>
    <x:row r="125">
      <x:c r="A125" s="254"/>
      <x:c r="B125" s="254"/>
      <x:c r="C125" s="254"/>
      <x:c r="D125" s="254"/>
      <x:c r="E125" s="254"/>
      <x:c r="F125" s="254"/>
      <x:c r="G125" s="254"/>
      <x:c r="H125" s="254"/>
      <x:c r="I125" s="254"/>
      <x:c r="J125" s="254"/>
      <x:c r="K125" s="254"/>
    </x:row>
    <x:row r="126">
      <x:c r="A126" s="254"/>
      <x:c r="B126" s="254"/>
      <x:c r="C126" s="254"/>
      <x:c r="D126" s="254"/>
      <x:c r="E126" s="254"/>
      <x:c r="F126" s="254"/>
      <x:c r="G126" s="254"/>
      <x:c r="H126" s="254"/>
      <x:c r="I126" s="254"/>
      <x:c r="J126" s="254"/>
      <x:c r="K126" s="254"/>
    </x:row>
    <x:row r="127">
      <x:c r="A127" s="254"/>
      <x:c r="B127" s="254"/>
      <x:c r="C127" s="254"/>
      <x:c r="D127" s="254"/>
      <x:c r="E127" s="254"/>
      <x:c r="F127" s="254"/>
      <x:c r="G127" s="254"/>
      <x:c r="H127" s="254"/>
      <x:c r="I127" s="254"/>
      <x:c r="J127" s="254"/>
      <x:c r="K127" s="254"/>
    </x:row>
    <x:row r="128">
      <x:c r="A128" s="254"/>
      <x:c r="B128" s="254"/>
      <x:c r="C128" s="254"/>
      <x:c r="D128" s="254"/>
      <x:c r="E128" s="254"/>
      <x:c r="F128" s="254"/>
      <x:c r="G128" s="254"/>
      <x:c r="H128" s="254"/>
      <x:c r="I128" s="254"/>
      <x:c r="J128" s="254"/>
      <x:c r="K128" s="254"/>
    </x:row>
    <x:row r="129">
      <x:c r="A129" s="254"/>
      <x:c r="B129" s="254"/>
      <x:c r="C129" s="254"/>
      <x:c r="D129" s="254"/>
      <x:c r="E129" s="254"/>
      <x:c r="F129" s="254"/>
      <x:c r="G129" s="254"/>
      <x:c r="H129" s="254"/>
      <x:c r="I129" s="254"/>
      <x:c r="J129" s="254"/>
      <x:c r="K129" s="254"/>
    </x:row>
    <x:row r="130">
      <x:c r="A130" s="254"/>
      <x:c r="B130" s="254"/>
      <x:c r="C130" s="254"/>
      <x:c r="D130" s="254"/>
      <x:c r="E130" s="254"/>
      <x:c r="F130" s="254"/>
      <x:c r="G130" s="254"/>
      <x:c r="H130" s="254"/>
      <x:c r="I130" s="254"/>
      <x:c r="J130" s="254"/>
      <x:c r="K130" s="254"/>
    </x:row>
    <x:row r="131">
      <x:c r="A131" s="254"/>
      <x:c r="B131" s="254"/>
      <x:c r="C131" s="254"/>
      <x:c r="D131" s="254"/>
      <x:c r="E131" s="254"/>
      <x:c r="F131" s="254"/>
      <x:c r="G131" s="254"/>
      <x:c r="H131" s="254"/>
      <x:c r="I131" s="254"/>
      <x:c r="J131" s="254"/>
      <x:c r="K131" s="254"/>
    </x:row>
    <x:row r="132">
      <x:c r="A132" s="254"/>
      <x:c r="B132" s="254"/>
      <x:c r="C132" s="254"/>
      <x:c r="D132" s="254"/>
      <x:c r="E132" s="254"/>
      <x:c r="F132" s="254"/>
      <x:c r="G132" s="254"/>
      <x:c r="H132" s="254"/>
      <x:c r="I132" s="254"/>
      <x:c r="J132" s="254"/>
      <x:c r="K132" s="254"/>
    </x:row>
    <x:row r="133">
      <x:c r="A133" s="254"/>
      <x:c r="B133" s="254"/>
      <x:c r="C133" s="254"/>
      <x:c r="D133" s="254"/>
      <x:c r="E133" s="254"/>
      <x:c r="F133" s="254"/>
      <x:c r="G133" s="254"/>
      <x:c r="H133" s="254"/>
      <x:c r="I133" s="254"/>
      <x:c r="J133" s="254"/>
      <x:c r="K133" s="254"/>
    </x:row>
    <x:row r="134">
      <x:c r="A134" s="254"/>
      <x:c r="B134" s="254"/>
      <x:c r="C134" s="254"/>
      <x:c r="D134" s="254"/>
      <x:c r="E134" s="254"/>
      <x:c r="F134" s="254"/>
      <x:c r="G134" s="254"/>
      <x:c r="H134" s="254"/>
      <x:c r="I134" s="254"/>
      <x:c r="J134" s="254"/>
      <x:c r="K134" s="254"/>
    </x:row>
    <x:row r="135">
      <x:c r="A135" s="254"/>
      <x:c r="B135" s="254"/>
      <x:c r="C135" s="254"/>
      <x:c r="D135" s="254"/>
      <x:c r="E135" s="254"/>
      <x:c r="F135" s="254"/>
      <x:c r="G135" s="254"/>
      <x:c r="H135" s="254"/>
      <x:c r="I135" s="254"/>
      <x:c r="J135" s="254"/>
      <x:c r="K135" s="254"/>
    </x:row>
    <x:row r="136">
      <x:c r="A136" s="254"/>
      <x:c r="B136" s="254"/>
      <x:c r="C136" s="254"/>
      <x:c r="D136" s="254"/>
      <x:c r="E136" s="254"/>
      <x:c r="F136" s="254"/>
      <x:c r="G136" s="254"/>
      <x:c r="H136" s="254"/>
      <x:c r="I136" s="254"/>
      <x:c r="J136" s="254"/>
      <x:c r="K136" s="254"/>
    </x:row>
    <x:row r="137">
      <x:c r="A137" s="254"/>
      <x:c r="B137" s="254"/>
      <x:c r="C137" s="254"/>
      <x:c r="D137" s="254"/>
      <x:c r="E137" s="254"/>
      <x:c r="F137" s="254"/>
      <x:c r="G137" s="254"/>
      <x:c r="H137" s="254"/>
      <x:c r="I137" s="254"/>
      <x:c r="J137" s="254"/>
      <x:c r="K137" s="254"/>
    </x:row>
    <x:row r="138">
      <x:c r="A138" s="254"/>
      <x:c r="B138" s="254"/>
      <x:c r="C138" s="254"/>
      <x:c r="D138" s="254"/>
      <x:c r="E138" s="254"/>
      <x:c r="F138" s="254"/>
      <x:c r="G138" s="254"/>
      <x:c r="H138" s="254"/>
      <x:c r="I138" s="254"/>
      <x:c r="J138" s="254"/>
      <x:c r="K138" s="254"/>
    </x:row>
    <x:row r="139">
      <x:c r="A139" s="254"/>
      <x:c r="B139" s="254"/>
      <x:c r="C139" s="254"/>
      <x:c r="D139" s="254"/>
      <x:c r="E139" s="254"/>
      <x:c r="F139" s="254"/>
      <x:c r="G139" s="254"/>
      <x:c r="H139" s="254"/>
      <x:c r="I139" s="254"/>
      <x:c r="J139" s="254"/>
      <x:c r="K139" s="254"/>
    </x:row>
    <x:row r="140">
      <x:c r="A140" s="254"/>
      <x:c r="B140" s="254"/>
      <x:c r="C140" s="254"/>
      <x:c r="D140" s="254"/>
      <x:c r="E140" s="254"/>
      <x:c r="F140" s="254"/>
      <x:c r="G140" s="254"/>
      <x:c r="H140" s="254"/>
      <x:c r="I140" s="254"/>
      <x:c r="J140" s="254"/>
      <x:c r="K140" s="254"/>
    </x:row>
    <x:row r="141">
      <x:c r="A141" s="254"/>
      <x:c r="B141" s="254"/>
      <x:c r="C141" s="254"/>
      <x:c r="D141" s="254"/>
      <x:c r="E141" s="254"/>
      <x:c r="F141" s="254"/>
      <x:c r="G141" s="254"/>
      <x:c r="H141" s="254"/>
      <x:c r="I141" s="254"/>
      <x:c r="J141" s="254"/>
      <x:c r="K141" s="254"/>
    </x:row>
    <x:row r="142">
      <x:c r="A142" s="254"/>
      <x:c r="B142" s="254"/>
      <x:c r="C142" s="254"/>
      <x:c r="D142" s="254"/>
      <x:c r="E142" s="254"/>
      <x:c r="F142" s="254"/>
      <x:c r="G142" s="254"/>
      <x:c r="H142" s="254"/>
      <x:c r="I142" s="254"/>
      <x:c r="J142" s="254"/>
      <x:c r="K142" s="254"/>
    </x:row>
    <x:row r="143">
      <x:c r="A143" s="254"/>
      <x:c r="B143" s="254"/>
      <x:c r="C143" s="254"/>
      <x:c r="D143" s="254"/>
      <x:c r="E143" s="254"/>
      <x:c r="F143" s="254"/>
      <x:c r="G143" s="254"/>
      <x:c r="H143" s="254"/>
      <x:c r="I143" s="254"/>
      <x:c r="J143" s="254"/>
      <x:c r="K143" s="254"/>
    </x:row>
    <x:row r="144">
      <x:c r="A144" s="254"/>
      <x:c r="B144" s="254"/>
      <x:c r="C144" s="254"/>
      <x:c r="D144" s="254"/>
      <x:c r="E144" s="254"/>
      <x:c r="F144" s="254"/>
      <x:c r="G144" s="254"/>
      <x:c r="H144" s="254"/>
      <x:c r="I144" s="254"/>
      <x:c r="J144" s="254"/>
      <x:c r="K144" s="254"/>
    </x:row>
    <x:row r="145">
      <x:c r="A145" s="254"/>
      <x:c r="B145" s="254"/>
      <x:c r="C145" s="254"/>
      <x:c r="D145" s="254"/>
      <x:c r="E145" s="254"/>
      <x:c r="F145" s="254"/>
      <x:c r="G145" s="254"/>
      <x:c r="H145" s="254"/>
      <x:c r="I145" s="254"/>
      <x:c r="J145" s="254"/>
      <x:c r="K145" s="254"/>
    </x:row>
    <x:row r="146">
      <x:c r="A146" s="254"/>
      <x:c r="B146" s="254"/>
      <x:c r="C146" s="254"/>
      <x:c r="D146" s="254"/>
      <x:c r="E146" s="254"/>
      <x:c r="F146" s="254"/>
      <x:c r="G146" s="254"/>
      <x:c r="H146" s="254"/>
      <x:c r="I146" s="254"/>
      <x:c r="J146" s="254"/>
      <x:c r="K146" s="254"/>
    </x:row>
    <x:row r="147">
      <x:c r="A147" s="254"/>
      <x:c r="B147" s="254"/>
      <x:c r="C147" s="254"/>
      <x:c r="D147" s="254"/>
      <x:c r="E147" s="254"/>
      <x:c r="F147" s="254"/>
      <x:c r="G147" s="254"/>
      <x:c r="H147" s="254"/>
      <x:c r="I147" s="254"/>
      <x:c r="J147" s="254"/>
      <x:c r="K147" s="254"/>
    </x:row>
    <x:row r="148">
      <x:c r="A148" s="254"/>
      <x:c r="B148" s="254"/>
      <x:c r="C148" s="254"/>
      <x:c r="D148" s="254"/>
      <x:c r="E148" s="254"/>
      <x:c r="F148" s="254"/>
      <x:c r="G148" s="254"/>
      <x:c r="H148" s="254"/>
      <x:c r="I148" s="254"/>
      <x:c r="J148" s="254"/>
      <x:c r="K148" s="254"/>
    </x:row>
    <x:row r="149">
      <x:c r="A149" s="254"/>
      <x:c r="B149" s="254"/>
      <x:c r="C149" s="254"/>
      <x:c r="D149" s="254"/>
      <x:c r="E149" s="254"/>
      <x:c r="F149" s="254"/>
      <x:c r="G149" s="254"/>
      <x:c r="H149" s="254"/>
      <x:c r="I149" s="254"/>
      <x:c r="J149" s="254"/>
      <x:c r="K149" s="254"/>
    </x:row>
    <x:row r="150">
      <x:c r="A150" s="254"/>
      <x:c r="B150" s="254"/>
      <x:c r="C150" s="254"/>
      <x:c r="D150" s="254"/>
      <x:c r="E150" s="254"/>
      <x:c r="F150" s="254"/>
      <x:c r="G150" s="254"/>
      <x:c r="H150" s="254"/>
      <x:c r="I150" s="254"/>
      <x:c r="J150" s="254"/>
      <x:c r="K150" s="254"/>
    </x:row>
  </x:sheetData>
  <x:mergeCells>
    <x:mergeCell ref="A1:K1"/>
    <x:mergeCell ref="A2:K2"/>
    <x:mergeCell ref="A11:K1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2" hidden="0" customWidth="1"/>
    <x:col min="4" max="4" width="24" hidden="0" customWidth="1"/>
    <x:col min="5" max="5" width="18" hidden="0" customWidth="1"/>
    <x:col min="6" max="6" width="22" hidden="0" customWidth="1"/>
    <x:col min="7" max="7" width="22" hidden="0" customWidth="1"/>
    <x:col min="8" max="8" width="18" hidden="0" customWidth="1"/>
  </x:cols>
  <x:sheetData>
    <x:row r="1" ht="25" customHeight="1">
      <x:c r="A1" s="5" t="str">
        <x:v>SECONDARY VALUATION — P/E</x:v>
      </x:c>
      <x:c r="B1" s="5"/>
      <x:c r="C1" s="5"/>
      <x:c r="D1" s="5"/>
      <x:c r="E1" s="5"/>
      <x:c r="F1" s="5"/>
      <x:c r="G1" s="5"/>
      <x:c r="H1" s="5"/>
      <x:c r="I1" s="5"/>
      <x:c r="J1" s="254"/>
      <x:c r="K1" s="254"/>
    </x:row>
    <x:row r="2" ht="22" customHeight="1">
      <x:c r="A2" s="13" t="str">
        <x:v>P/E as a secondary cross-check; P/B and P/TBV remain the primary bank valuation metrics</x:v>
      </x:c>
      <x:c r="B2" s="13"/>
      <x:c r="C2" s="13"/>
      <x:c r="D2" s="13"/>
      <x:c r="E2" s="13"/>
      <x:c r="F2" s="13"/>
      <x:c r="G2" s="13"/>
      <x:c r="H2" s="13"/>
      <x:c r="I2" s="13"/>
      <x:c r="J2" s="254"/>
      <x:c r="K2" s="254"/>
    </x:row>
    <x:row r="3">
      <x:c r="A3" s="254"/>
      <x:c r="B3" s="254"/>
      <x:c r="C3" s="254"/>
      <x:c r="D3" s="254"/>
      <x:c r="E3" s="254"/>
      <x:c r="F3" s="254"/>
      <x:c r="G3" s="254"/>
      <x:c r="H3" s="254"/>
      <x:c r="I3" s="254"/>
      <x:c r="J3" s="254"/>
      <x:c r="K3" s="254"/>
    </x:row>
    <x:row r="4" ht="32" customHeight="1">
      <x:c r="A4" s="36" t="str">
        <x:v>Bank</x:v>
      </x:c>
      <x:c r="B4" s="37" t="str">
        <x:v>Source P/E (x)</x:v>
      </x:c>
      <x:c r="C4" s="37" t="str">
        <x:v>Peer P/E ex Target (x)</x:v>
      </x:c>
      <x:c r="D4" s="37" t="str">
        <x:v>P/E Premium / (Discount)</x:v>
      </x:c>
      <x:c r="E4" s="37" t="str">
        <x:v>TTM EPS (₹)</x:v>
      </x:c>
      <x:c r="F4" s="37" t="str">
        <x:v>P/E Implied Price (₹)</x:v>
      </x:c>
      <x:c r="G4" s="37" t="str">
        <x:v>P/E Upside / (Downside)</x:v>
      </x:c>
      <x:c r="H4" s="38" t="str">
        <x:v>Dividend Yield (%)</x:v>
      </x:c>
      <x:c r="I4" s="254"/>
      <x:c r="J4" s="254"/>
      <x:c r="K4" s="254"/>
    </x:row>
    <x:row r="5">
      <x:c r="A5" s="272" t="str">
        <x:v>Axis Bank</x:v>
      </x:c>
      <x:c r="B5" s="218" t="n">
        <x:f>'Valuation &amp; Tangible'!B19</x:f>
        <x:v>15.2</x:v>
      </x:c>
      <x:c r="C5" s="218" t="n">
        <x:f>MEDIAN('Valuation &amp; Tangible'!C19,'Valuation &amp; Tangible'!D19,'Valuation &amp; Tangible'!E19,'Valuation &amp; Tangible'!F19)</x:f>
        <x:v>18.5</x:v>
      </x:c>
      <x:c r="D5" s="212" t="n">
        <x:f>IFERROR(B5/C5-1,0)</x:f>
        <x:v>-0.17837837837837844</x:v>
      </x:c>
      <x:c r="E5" s="204" t="n">
        <x:f>IFERROR('Valuation &amp; Tangible'!B5/B5,0)</x:f>
        <x:v>82.69736842105263</x:v>
      </x:c>
      <x:c r="F5" s="204" t="n">
        <x:f>C5*E5</x:f>
        <x:v>1529.9013157894738</x:v>
      </x:c>
      <x:c r="G5" s="212" t="n">
        <x:f>IFERROR(F5/'Valuation &amp; Tangible'!B5-1,0)</x:f>
        <x:v>0.2171052631578947</x:v>
      </x:c>
      <x:c r="H5" s="213" t="n">
        <x:f>'Valuation &amp; Tangible'!B20</x:f>
        <x:v>0.0008</x:v>
      </x:c>
      <x:c r="I5" s="254"/>
      <x:c r="J5" s="254"/>
      <x:c r="K5" s="254"/>
    </x:row>
    <x:row r="6">
      <x:c r="A6" s="272" t="str">
        <x:v>HDFC Bank</x:v>
      </x:c>
      <x:c r="B6" s="218" t="n">
        <x:f>'Valuation &amp; Tangible'!C19</x:f>
        <x:v>14.9</x:v>
      </x:c>
      <x:c r="C6" s="218" t="n">
        <x:f>MEDIAN('Valuation &amp; Tangible'!B19,'Valuation &amp; Tangible'!D19,'Valuation &amp; Tangible'!E19,'Valuation &amp; Tangible'!F19)</x:f>
        <x:v>18.5</x:v>
      </x:c>
      <x:c r="D6" s="212" t="n">
        <x:f>IFERROR(B6/C6-1,0)</x:f>
        <x:v>-0.1945945945945946</x:v>
      </x:c>
      <x:c r="E6" s="204" t="n">
        <x:f>IFERROR('Valuation &amp; Tangible'!C5/B6,0)</x:f>
        <x:v>48.92617449664429</x:v>
      </x:c>
      <x:c r="F6" s="204" t="n">
        <x:f>C6*E6</x:f>
        <x:v>905.1342281879195</x:v>
      </x:c>
      <x:c r="G6" s="212" t="n">
        <x:f>IFERROR(F6/'Valuation &amp; Tangible'!C5-1,0)</x:f>
        <x:v>0.24161073825503365</x:v>
      </x:c>
      <x:c r="H6" s="213" t="n">
        <x:f>'Valuation &amp; Tangible'!C20</x:f>
        <x:v>0.0178</x:v>
      </x:c>
      <x:c r="I6" s="254"/>
      <x:c r="J6" s="254"/>
      <x:c r="K6" s="254"/>
    </x:row>
    <x:row r="7">
      <x:c r="A7" s="272" t="str">
        <x:v>ICICI Bank</x:v>
      </x:c>
      <x:c r="B7" s="218" t="n">
        <x:f>'Valuation &amp; Tangible'!D19</x:f>
        <x:v>18.4</x:v>
      </x:c>
      <x:c r="C7" s="218" t="n">
        <x:f>MEDIAN('Valuation &amp; Tangible'!B19,'Valuation &amp; Tangible'!C19,'Valuation &amp; Tangible'!E19,'Valuation &amp; Tangible'!F19)</x:f>
        <x:v>16.9</x:v>
      </x:c>
      <x:c r="D7" s="212" t="n">
        <x:f>IFERROR(B7/C7-1,0)</x:f>
        <x:v>0.08875739644970415</x:v>
      </x:c>
      <x:c r="E7" s="204" t="n">
        <x:f>IFERROR('Valuation &amp; Tangible'!D5/B7,0)</x:f>
        <x:v>72.77173913043478</x:v>
      </x:c>
      <x:c r="F7" s="204" t="n">
        <x:f>C7*E7</x:f>
        <x:v>1229.8423913043478</x:v>
      </x:c>
      <x:c r="G7" s="212" t="n">
        <x:f>IFERROR(F7/'Valuation &amp; Tangible'!D5-1,0)</x:f>
        <x:v>-0.08152173913043481</x:v>
      </x:c>
      <x:c r="H7" s="213" t="n">
        <x:f>'Valuation &amp; Tangible'!D20</x:f>
        <x:v>0.009</x:v>
      </x:c>
      <x:c r="I7" s="254"/>
      <x:c r="J7" s="254"/>
      <x:c r="K7" s="254"/>
    </x:row>
    <x:row r="8">
      <x:c r="A8" s="272" t="str">
        <x:v>Kotak Mahindra Bank</x:v>
      </x:c>
      <x:c r="B8" s="218" t="n">
        <x:f>'Valuation &amp; Tangible'!E19</x:f>
        <x:v>20.5</x:v>
      </x:c>
      <x:c r="C8" s="218" t="n">
        <x:f>MEDIAN('Valuation &amp; Tangible'!B19,'Valuation &amp; Tangible'!C19,'Valuation &amp; Tangible'!D19,'Valuation &amp; Tangible'!F19)</x:f>
        <x:v>16.799999999999997</x:v>
      </x:c>
      <x:c r="D8" s="212" t="n">
        <x:f>IFERROR(B8/C8-1,0)</x:f>
        <x:v>0.22023809523809534</x:v>
      </x:c>
      <x:c r="E8" s="204" t="n">
        <x:f>IFERROR('Valuation &amp; Tangible'!E5/B8,0)</x:f>
        <x:v>20.097560975609756</x:v>
      </x:c>
      <x:c r="F8" s="204" t="n">
        <x:f>C8*E8</x:f>
        <x:v>337.63902439024383</x:v>
      </x:c>
      <x:c r="G8" s="212" t="n">
        <x:f>IFERROR(F8/'Valuation &amp; Tangible'!E5-1,0)</x:f>
        <x:v>-0.18048780487804894</x:v>
      </x:c>
      <x:c r="H8" s="213" t="n">
        <x:f>'Valuation &amp; Tangible'!E20</x:f>
        <x:v>0.0016</x:v>
      </x:c>
      <x:c r="I8" s="254"/>
      <x:c r="J8" s="254"/>
      <x:c r="K8" s="254"/>
    </x:row>
    <x:row r="9">
      <x:c r="A9" s="272" t="str">
        <x:v>Federal Bank</x:v>
      </x:c>
      <x:c r="B9" s="218" t="n">
        <x:f>'Valuation &amp; Tangible'!F19</x:f>
        <x:v>18.6</x:v>
      </x:c>
      <x:c r="C9" s="218" t="n">
        <x:f>MEDIAN('Valuation &amp; Tangible'!B19,'Valuation &amp; Tangible'!C19,'Valuation &amp; Tangible'!D19,'Valuation &amp; Tangible'!E19)</x:f>
        <x:v>16.799999999999997</x:v>
      </x:c>
      <x:c r="D9" s="212" t="n">
        <x:f>IFERROR(B9/C9-1,0)</x:f>
        <x:v>0.10714285714285743</x:v>
      </x:c>
      <x:c r="E9" s="204" t="n">
        <x:f>IFERROR('Valuation &amp; Tangible'!F5/B9,0)</x:f>
        <x:v>17.903225806451612</x:v>
      </x:c>
      <x:c r="F9" s="204" t="n">
        <x:f>C9*E9</x:f>
        <x:v>300.774193548387</x:v>
      </x:c>
      <x:c r="G9" s="212" t="n">
        <x:f>IFERROR(F9/'Valuation &amp; Tangible'!F5-1,0)</x:f>
        <x:v>-0.09677419354838734</x:v>
      </x:c>
      <x:c r="H9" s="213" t="n">
        <x:f>'Valuation &amp; Tangible'!F20</x:f>
        <x:v>0.0036</x:v>
      </x:c>
      <x:c r="I9" s="254"/>
      <x:c r="J9" s="254"/>
      <x:c r="K9" s="254"/>
    </x:row>
    <x:row r="10">
      <x:c r="A10" s="254"/>
      <x:c r="B10" s="254"/>
      <x:c r="C10" s="254"/>
      <x:c r="D10" s="254"/>
      <x:c r="E10" s="254"/>
      <x:c r="F10" s="254"/>
      <x:c r="G10" s="254"/>
      <x:c r="H10" s="254"/>
      <x:c r="I10" s="254"/>
      <x:c r="J10" s="254"/>
      <x:c r="K10" s="254"/>
    </x:row>
    <x:row r="11">
      <x:c r="A11" s="267" t="str">
        <x:v>TTM EPS note: because the raw source page provides market P/E but not a separately standardized TTM EPS line, the model transparently infers TTM EPS as Share Price ÷ Source P/E. P/E remains a secondary cross-check rather than the primary bank valuation method.</x:v>
      </x:c>
      <x:c r="B11" s="267"/>
      <x:c r="C11" s="267"/>
      <x:c r="D11" s="267"/>
      <x:c r="E11" s="267"/>
      <x:c r="F11" s="267"/>
      <x:c r="G11" s="267"/>
      <x:c r="H11" s="267"/>
      <x:c r="I11" s="254"/>
      <x:c r="J11" s="254"/>
      <x:c r="K11" s="254"/>
    </x:row>
    <x:row r="12">
      <x:c r="A12" s="267"/>
      <x:c r="B12" s="267"/>
      <x:c r="C12" s="267"/>
      <x:c r="D12" s="267"/>
      <x:c r="E12" s="267"/>
      <x:c r="F12" s="267"/>
      <x:c r="G12" s="267"/>
      <x:c r="H12" s="267"/>
      <x:c r="I12" s="254"/>
      <x:c r="J12" s="254"/>
      <x:c r="K12" s="254"/>
    </x:row>
    <x:row r="13">
      <x:c r="A13" s="267"/>
      <x:c r="B13" s="267"/>
      <x:c r="C13" s="267"/>
      <x:c r="D13" s="267"/>
      <x:c r="E13" s="267"/>
      <x:c r="F13" s="267"/>
      <x:c r="G13" s="267"/>
      <x:c r="H13" s="267"/>
      <x:c r="I13" s="254"/>
      <x:c r="J13" s="254"/>
      <x:c r="K13" s="254"/>
    </x:row>
    <x:row r="14">
      <x:c r="A14" s="254"/>
      <x:c r="B14" s="254"/>
      <x:c r="C14" s="254"/>
      <x:c r="D14" s="254"/>
      <x:c r="E14" s="254"/>
      <x:c r="F14" s="254"/>
      <x:c r="G14" s="254"/>
      <x:c r="H14" s="254"/>
      <x:c r="I14" s="254"/>
      <x:c r="J14" s="254"/>
      <x:c r="K14" s="254"/>
    </x:row>
    <x:row r="15">
      <x:c r="A15" s="254"/>
      <x:c r="B15" s="254"/>
      <x:c r="C15" s="254"/>
      <x:c r="D15" s="254"/>
      <x:c r="E15" s="254"/>
      <x:c r="F15" s="254"/>
      <x:c r="G15" s="254"/>
      <x:c r="H15" s="254"/>
      <x:c r="I15" s="254"/>
      <x:c r="J15" s="254"/>
      <x:c r="K15" s="254"/>
    </x:row>
    <x:row r="16">
      <x:c r="A16" s="254"/>
      <x:c r="B16" s="254"/>
      <x:c r="C16" s="254"/>
      <x:c r="D16" s="254"/>
      <x:c r="E16" s="254"/>
      <x:c r="F16" s="254"/>
      <x:c r="G16" s="254"/>
      <x:c r="H16" s="254"/>
      <x:c r="I16" s="254"/>
      <x:c r="J16" s="254"/>
      <x:c r="K16" s="254"/>
    </x:row>
    <x:row r="17">
      <x:c r="A17" s="254"/>
      <x:c r="B17" s="254"/>
      <x:c r="C17" s="254"/>
      <x:c r="D17" s="254"/>
      <x:c r="E17" s="254"/>
      <x:c r="F17" s="254"/>
      <x:c r="G17" s="254"/>
      <x:c r="H17" s="254"/>
      <x:c r="I17" s="254"/>
      <x:c r="J17" s="254"/>
      <x:c r="K17" s="254"/>
    </x:row>
    <x:row r="18">
      <x:c r="A18" s="254"/>
      <x:c r="B18" s="254"/>
      <x:c r="C18" s="254"/>
      <x:c r="D18" s="254"/>
      <x:c r="E18" s="254"/>
      <x:c r="F18" s="254"/>
      <x:c r="G18" s="254"/>
      <x:c r="H18" s="254"/>
      <x:c r="I18" s="254"/>
      <x:c r="J18" s="254"/>
      <x:c r="K18" s="254"/>
    </x:row>
    <x:row r="19">
      <x:c r="A19" s="254"/>
      <x:c r="B19" s="254"/>
      <x:c r="C19" s="254"/>
      <x:c r="D19" s="254"/>
      <x:c r="E19" s="254"/>
      <x:c r="F19" s="254"/>
      <x:c r="G19" s="254"/>
      <x:c r="H19" s="254"/>
      <x:c r="I19" s="254"/>
      <x:c r="J19" s="254"/>
      <x:c r="K19" s="254"/>
    </x:row>
    <x:row r="20">
      <x:c r="A20" s="254"/>
      <x:c r="B20" s="254"/>
      <x:c r="C20" s="254"/>
      <x:c r="D20" s="254"/>
      <x:c r="E20" s="254"/>
      <x:c r="F20" s="254"/>
      <x:c r="G20" s="254"/>
      <x:c r="H20" s="254"/>
      <x:c r="I20" s="254"/>
      <x:c r="J20" s="254"/>
      <x:c r="K20" s="254"/>
    </x:row>
    <x:row r="21">
      <x:c r="A21" s="254"/>
      <x:c r="B21" s="254"/>
      <x:c r="C21" s="254"/>
      <x:c r="D21" s="254"/>
      <x:c r="E21" s="254"/>
      <x:c r="F21" s="254"/>
      <x:c r="G21" s="254"/>
      <x:c r="H21" s="254"/>
      <x:c r="I21" s="254"/>
      <x:c r="J21" s="254"/>
      <x:c r="K21" s="254"/>
    </x:row>
    <x:row r="22">
      <x:c r="A22" s="254"/>
      <x:c r="B22" s="254"/>
      <x:c r="C22" s="254"/>
      <x:c r="D22" s="254"/>
      <x:c r="E22" s="254"/>
      <x:c r="F22" s="254"/>
      <x:c r="G22" s="254"/>
      <x:c r="H22" s="254"/>
      <x:c r="I22" s="254"/>
      <x:c r="J22" s="254"/>
      <x:c r="K22" s="254"/>
    </x:row>
    <x:row r="23">
      <x:c r="A23" s="254"/>
      <x:c r="B23" s="254"/>
      <x:c r="C23" s="254"/>
      <x:c r="D23" s="254"/>
      <x:c r="E23" s="254"/>
      <x:c r="F23" s="254"/>
      <x:c r="G23" s="254"/>
      <x:c r="H23" s="254"/>
      <x:c r="I23" s="254"/>
      <x:c r="J23" s="254"/>
      <x:c r="K23" s="254"/>
    </x:row>
    <x:row r="24">
      <x:c r="A24" s="254"/>
      <x:c r="B24" s="254"/>
      <x:c r="C24" s="254"/>
      <x:c r="D24" s="254"/>
      <x:c r="E24" s="254"/>
      <x:c r="F24" s="254"/>
      <x:c r="G24" s="254"/>
      <x:c r="H24" s="254"/>
      <x:c r="I24" s="254"/>
      <x:c r="J24" s="254"/>
      <x:c r="K24" s="254"/>
    </x:row>
    <x:row r="25">
      <x:c r="A25" s="254"/>
      <x:c r="B25" s="254"/>
      <x:c r="C25" s="254"/>
      <x:c r="D25" s="254"/>
      <x:c r="E25" s="254"/>
      <x:c r="F25" s="254"/>
      <x:c r="G25" s="254"/>
      <x:c r="H25" s="254"/>
      <x:c r="I25" s="254"/>
      <x:c r="J25" s="254"/>
      <x:c r="K25" s="254"/>
    </x:row>
    <x:row r="26">
      <x:c r="A26" s="254"/>
      <x:c r="B26" s="254"/>
      <x:c r="C26" s="254"/>
      <x:c r="D26" s="254"/>
      <x:c r="E26" s="254"/>
      <x:c r="F26" s="254"/>
      <x:c r="G26" s="254"/>
      <x:c r="H26" s="254"/>
      <x:c r="I26" s="254"/>
      <x:c r="J26" s="254"/>
      <x:c r="K26" s="254"/>
    </x:row>
    <x:row r="27">
      <x:c r="A27" s="254"/>
      <x:c r="B27" s="254"/>
      <x:c r="C27" s="254"/>
      <x:c r="D27" s="254"/>
      <x:c r="E27" s="254"/>
      <x:c r="F27" s="254"/>
      <x:c r="G27" s="254"/>
      <x:c r="H27" s="254"/>
      <x:c r="I27" s="254"/>
      <x:c r="J27" s="254"/>
      <x:c r="K27" s="254"/>
    </x:row>
    <x:row r="28">
      <x:c r="A28" s="254"/>
      <x:c r="B28" s="254"/>
      <x:c r="C28" s="254"/>
      <x:c r="D28" s="254"/>
      <x:c r="E28" s="254"/>
      <x:c r="F28" s="254"/>
      <x:c r="G28" s="254"/>
      <x:c r="H28" s="254"/>
      <x:c r="I28" s="254"/>
      <x:c r="J28" s="254"/>
      <x:c r="K28" s="254"/>
    </x:row>
    <x:row r="29">
      <x:c r="A29" s="254"/>
      <x:c r="B29" s="254"/>
      <x:c r="C29" s="254"/>
      <x:c r="D29" s="254"/>
      <x:c r="E29" s="254"/>
      <x:c r="F29" s="254"/>
      <x:c r="G29" s="254"/>
      <x:c r="H29" s="254"/>
      <x:c r="I29" s="254"/>
      <x:c r="J29" s="254"/>
      <x:c r="K29" s="254"/>
    </x:row>
    <x:row r="30">
      <x:c r="A30" s="254"/>
      <x:c r="B30" s="254"/>
      <x:c r="C30" s="254"/>
      <x:c r="D30" s="254"/>
      <x:c r="E30" s="254"/>
      <x:c r="F30" s="254"/>
      <x:c r="G30" s="254"/>
      <x:c r="H30" s="254"/>
      <x:c r="I30" s="254"/>
      <x:c r="J30" s="254"/>
      <x:c r="K30" s="254"/>
    </x:row>
    <x:row r="31">
      <x:c r="A31" s="254"/>
      <x:c r="B31" s="254"/>
      <x:c r="C31" s="254"/>
      <x:c r="D31" s="254"/>
      <x:c r="E31" s="254"/>
      <x:c r="F31" s="254"/>
      <x:c r="G31" s="254"/>
      <x:c r="H31" s="254"/>
      <x:c r="I31" s="254"/>
      <x:c r="J31" s="254"/>
      <x:c r="K31" s="254"/>
    </x:row>
    <x:row r="32">
      <x:c r="A32" s="254"/>
      <x:c r="B32" s="254"/>
      <x:c r="C32" s="254"/>
      <x:c r="D32" s="254"/>
      <x:c r="E32" s="254"/>
      <x:c r="F32" s="254"/>
      <x:c r="G32" s="254"/>
      <x:c r="H32" s="254"/>
      <x:c r="I32" s="254"/>
      <x:c r="J32" s="254"/>
      <x:c r="K32" s="254"/>
    </x:row>
    <x:row r="33">
      <x:c r="A33" s="254"/>
      <x:c r="B33" s="254"/>
      <x:c r="C33" s="254"/>
      <x:c r="D33" s="254"/>
      <x:c r="E33" s="254"/>
      <x:c r="F33" s="254"/>
      <x:c r="G33" s="254"/>
      <x:c r="H33" s="254"/>
      <x:c r="I33" s="254"/>
      <x:c r="J33" s="254"/>
      <x:c r="K33" s="254"/>
    </x:row>
    <x:row r="34">
      <x:c r="A34" s="254"/>
      <x:c r="B34" s="254"/>
      <x:c r="C34" s="254"/>
      <x:c r="D34" s="254"/>
      <x:c r="E34" s="254"/>
      <x:c r="F34" s="254"/>
      <x:c r="G34" s="254"/>
      <x:c r="H34" s="254"/>
      <x:c r="I34" s="254"/>
      <x:c r="J34" s="254"/>
      <x:c r="K34" s="254"/>
    </x:row>
    <x:row r="35">
      <x:c r="A35" s="254"/>
      <x:c r="B35" s="254"/>
      <x:c r="C35" s="254"/>
      <x:c r="D35" s="254"/>
      <x:c r="E35" s="254"/>
      <x:c r="F35" s="254"/>
      <x:c r="G35" s="254"/>
      <x:c r="H35" s="254"/>
      <x:c r="I35" s="254"/>
      <x:c r="J35" s="254"/>
      <x:c r="K35" s="254"/>
    </x:row>
    <x:row r="36">
      <x:c r="A36" s="254"/>
      <x:c r="B36" s="254"/>
      <x:c r="C36" s="254"/>
      <x:c r="D36" s="254"/>
      <x:c r="E36" s="254"/>
      <x:c r="F36" s="254"/>
      <x:c r="G36" s="254"/>
      <x:c r="H36" s="254"/>
      <x:c r="I36" s="254"/>
      <x:c r="J36" s="254"/>
      <x:c r="K36" s="254"/>
    </x:row>
    <x:row r="37">
      <x:c r="A37" s="254"/>
      <x:c r="B37" s="254"/>
      <x:c r="C37" s="254"/>
      <x:c r="D37" s="254"/>
      <x:c r="E37" s="254"/>
      <x:c r="F37" s="254"/>
      <x:c r="G37" s="254"/>
      <x:c r="H37" s="254"/>
      <x:c r="I37" s="254"/>
      <x:c r="J37" s="254"/>
      <x:c r="K37" s="254"/>
    </x:row>
    <x:row r="38">
      <x:c r="A38" s="254"/>
      <x:c r="B38" s="254"/>
      <x:c r="C38" s="254"/>
      <x:c r="D38" s="254"/>
      <x:c r="E38" s="254"/>
      <x:c r="F38" s="254"/>
      <x:c r="G38" s="254"/>
      <x:c r="H38" s="254"/>
      <x:c r="I38" s="254"/>
      <x:c r="J38" s="254"/>
      <x:c r="K38" s="254"/>
    </x:row>
    <x:row r="39">
      <x:c r="A39" s="254"/>
      <x:c r="B39" s="254"/>
      <x:c r="C39" s="254"/>
      <x:c r="D39" s="254"/>
      <x:c r="E39" s="254"/>
      <x:c r="F39" s="254"/>
      <x:c r="G39" s="254"/>
      <x:c r="H39" s="254"/>
      <x:c r="I39" s="254"/>
      <x:c r="J39" s="254"/>
      <x:c r="K39" s="254"/>
    </x:row>
    <x:row r="40">
      <x:c r="A40" s="254"/>
      <x:c r="B40" s="254"/>
      <x:c r="C40" s="254"/>
      <x:c r="D40" s="254"/>
      <x:c r="E40" s="254"/>
      <x:c r="F40" s="254"/>
      <x:c r="G40" s="254"/>
      <x:c r="H40" s="254"/>
      <x:c r="I40" s="254"/>
      <x:c r="J40" s="254"/>
      <x:c r="K40" s="254"/>
    </x:row>
    <x:row r="41">
      <x:c r="A41" s="254"/>
      <x:c r="B41" s="254"/>
      <x:c r="C41" s="254"/>
      <x:c r="D41" s="254"/>
      <x:c r="E41" s="254"/>
      <x:c r="F41" s="254"/>
      <x:c r="G41" s="254"/>
      <x:c r="H41" s="254"/>
      <x:c r="I41" s="254"/>
      <x:c r="J41" s="254"/>
      <x:c r="K41" s="254"/>
    </x:row>
    <x:row r="42">
      <x:c r="A42" s="254"/>
      <x:c r="B42" s="254"/>
      <x:c r="C42" s="254"/>
      <x:c r="D42" s="254"/>
      <x:c r="E42" s="254"/>
      <x:c r="F42" s="254"/>
      <x:c r="G42" s="254"/>
      <x:c r="H42" s="254"/>
      <x:c r="I42" s="254"/>
      <x:c r="J42" s="254"/>
      <x:c r="K42" s="254"/>
    </x:row>
    <x:row r="43">
      <x:c r="A43" s="254"/>
      <x:c r="B43" s="254"/>
      <x:c r="C43" s="254"/>
      <x:c r="D43" s="254"/>
      <x:c r="E43" s="254"/>
      <x:c r="F43" s="254"/>
      <x:c r="G43" s="254"/>
      <x:c r="H43" s="254"/>
      <x:c r="I43" s="254"/>
      <x:c r="J43" s="254"/>
      <x:c r="K43" s="254"/>
    </x:row>
    <x:row r="44">
      <x:c r="A44" s="254"/>
      <x:c r="B44" s="254"/>
      <x:c r="C44" s="254"/>
      <x:c r="D44" s="254"/>
      <x:c r="E44" s="254"/>
      <x:c r="F44" s="254"/>
      <x:c r="G44" s="254"/>
      <x:c r="H44" s="254"/>
      <x:c r="I44" s="254"/>
      <x:c r="J44" s="254"/>
      <x:c r="K44" s="254"/>
    </x:row>
    <x:row r="45">
      <x:c r="A45" s="254"/>
      <x:c r="B45" s="254"/>
      <x:c r="C45" s="254"/>
      <x:c r="D45" s="254"/>
      <x:c r="E45" s="254"/>
      <x:c r="F45" s="254"/>
      <x:c r="G45" s="254"/>
      <x:c r="H45" s="254"/>
      <x:c r="I45" s="254"/>
      <x:c r="J45" s="254"/>
      <x:c r="K45" s="254"/>
    </x:row>
    <x:row r="46">
      <x:c r="A46" s="254"/>
      <x:c r="B46" s="254"/>
      <x:c r="C46" s="254"/>
      <x:c r="D46" s="254"/>
      <x:c r="E46" s="254"/>
      <x:c r="F46" s="254"/>
      <x:c r="G46" s="254"/>
      <x:c r="H46" s="254"/>
      <x:c r="I46" s="254"/>
      <x:c r="J46" s="254"/>
      <x:c r="K46" s="254"/>
    </x:row>
    <x:row r="47">
      <x:c r="A47" s="254"/>
      <x:c r="B47" s="254"/>
      <x:c r="C47" s="254"/>
      <x:c r="D47" s="254"/>
      <x:c r="E47" s="254"/>
      <x:c r="F47" s="254"/>
      <x:c r="G47" s="254"/>
      <x:c r="H47" s="254"/>
      <x:c r="I47" s="254"/>
      <x:c r="J47" s="254"/>
      <x:c r="K47" s="254"/>
    </x:row>
    <x:row r="48">
      <x:c r="A48" s="254"/>
      <x:c r="B48" s="254"/>
      <x:c r="C48" s="254"/>
      <x:c r="D48" s="254"/>
      <x:c r="E48" s="254"/>
      <x:c r="F48" s="254"/>
      <x:c r="G48" s="254"/>
      <x:c r="H48" s="254"/>
      <x:c r="I48" s="254"/>
      <x:c r="J48" s="254"/>
      <x:c r="K48" s="254"/>
    </x:row>
    <x:row r="49">
      <x:c r="A49" s="254"/>
      <x:c r="B49" s="254"/>
      <x:c r="C49" s="254"/>
      <x:c r="D49" s="254"/>
      <x:c r="E49" s="254"/>
      <x:c r="F49" s="254"/>
      <x:c r="G49" s="254"/>
      <x:c r="H49" s="254"/>
      <x:c r="I49" s="254"/>
      <x:c r="J49" s="254"/>
      <x:c r="K49" s="254"/>
    </x:row>
    <x:row r="50">
      <x:c r="A50" s="254"/>
      <x:c r="B50" s="254"/>
      <x:c r="C50" s="254"/>
      <x:c r="D50" s="254"/>
      <x:c r="E50" s="254"/>
      <x:c r="F50" s="254"/>
      <x:c r="G50" s="254"/>
      <x:c r="H50" s="254"/>
      <x:c r="I50" s="254"/>
      <x:c r="J50" s="254"/>
      <x:c r="K50" s="254"/>
    </x:row>
    <x:row r="51">
      <x:c r="A51" s="254"/>
      <x:c r="B51" s="254"/>
      <x:c r="C51" s="254"/>
      <x:c r="D51" s="254"/>
      <x:c r="E51" s="254"/>
      <x:c r="F51" s="254"/>
      <x:c r="G51" s="254"/>
      <x:c r="H51" s="254"/>
      <x:c r="I51" s="254"/>
      <x:c r="J51" s="254"/>
      <x:c r="K51" s="254"/>
    </x:row>
    <x:row r="52">
      <x:c r="A52" s="254"/>
      <x:c r="B52" s="254"/>
      <x:c r="C52" s="254"/>
      <x:c r="D52" s="254"/>
      <x:c r="E52" s="254"/>
      <x:c r="F52" s="254"/>
      <x:c r="G52" s="254"/>
      <x:c r="H52" s="254"/>
      <x:c r="I52" s="254"/>
      <x:c r="J52" s="254"/>
      <x:c r="K52" s="254"/>
    </x:row>
    <x:row r="53">
      <x:c r="A53" s="254"/>
      <x:c r="B53" s="254"/>
      <x:c r="C53" s="254"/>
      <x:c r="D53" s="254"/>
      <x:c r="E53" s="254"/>
      <x:c r="F53" s="254"/>
      <x:c r="G53" s="254"/>
      <x:c r="H53" s="254"/>
      <x:c r="I53" s="254"/>
      <x:c r="J53" s="254"/>
      <x:c r="K53" s="254"/>
    </x:row>
    <x:row r="54">
      <x:c r="A54" s="254"/>
      <x:c r="B54" s="254"/>
      <x:c r="C54" s="254"/>
      <x:c r="D54" s="254"/>
      <x:c r="E54" s="254"/>
      <x:c r="F54" s="254"/>
      <x:c r="G54" s="254"/>
      <x:c r="H54" s="254"/>
      <x:c r="I54" s="254"/>
      <x:c r="J54" s="254"/>
      <x:c r="K54" s="254"/>
    </x:row>
    <x:row r="55">
      <x:c r="A55" s="254"/>
      <x:c r="B55" s="254"/>
      <x:c r="C55" s="254"/>
      <x:c r="D55" s="254"/>
      <x:c r="E55" s="254"/>
      <x:c r="F55" s="254"/>
      <x:c r="G55" s="254"/>
      <x:c r="H55" s="254"/>
      <x:c r="I55" s="254"/>
      <x:c r="J55" s="254"/>
      <x:c r="K55" s="254"/>
    </x:row>
    <x:row r="56">
      <x:c r="A56" s="254"/>
      <x:c r="B56" s="254"/>
      <x:c r="C56" s="254"/>
      <x:c r="D56" s="254"/>
      <x:c r="E56" s="254"/>
      <x:c r="F56" s="254"/>
      <x:c r="G56" s="254"/>
      <x:c r="H56" s="254"/>
      <x:c r="I56" s="254"/>
      <x:c r="J56" s="254"/>
      <x:c r="K56" s="254"/>
    </x:row>
    <x:row r="57">
      <x:c r="A57" s="254"/>
      <x:c r="B57" s="254"/>
      <x:c r="C57" s="254"/>
      <x:c r="D57" s="254"/>
      <x:c r="E57" s="254"/>
      <x:c r="F57" s="254"/>
      <x:c r="G57" s="254"/>
      <x:c r="H57" s="254"/>
      <x:c r="I57" s="254"/>
      <x:c r="J57" s="254"/>
      <x:c r="K57" s="254"/>
    </x:row>
    <x:row r="58">
      <x:c r="A58" s="254"/>
      <x:c r="B58" s="254"/>
      <x:c r="C58" s="254"/>
      <x:c r="D58" s="254"/>
      <x:c r="E58" s="254"/>
      <x:c r="F58" s="254"/>
      <x:c r="G58" s="254"/>
      <x:c r="H58" s="254"/>
      <x:c r="I58" s="254"/>
      <x:c r="J58" s="254"/>
      <x:c r="K58" s="254"/>
    </x:row>
    <x:row r="59">
      <x:c r="A59" s="254"/>
      <x:c r="B59" s="254"/>
      <x:c r="C59" s="254"/>
      <x:c r="D59" s="254"/>
      <x:c r="E59" s="254"/>
      <x:c r="F59" s="254"/>
      <x:c r="G59" s="254"/>
      <x:c r="H59" s="254"/>
      <x:c r="I59" s="254"/>
      <x:c r="J59" s="254"/>
      <x:c r="K59" s="254"/>
    </x:row>
    <x:row r="60">
      <x:c r="A60" s="254"/>
      <x:c r="B60" s="254"/>
      <x:c r="C60" s="254"/>
      <x:c r="D60" s="254"/>
      <x:c r="E60" s="254"/>
      <x:c r="F60" s="254"/>
      <x:c r="G60" s="254"/>
      <x:c r="H60" s="254"/>
      <x:c r="I60" s="254"/>
      <x:c r="J60" s="254"/>
      <x:c r="K60" s="254"/>
    </x:row>
    <x:row r="61">
      <x:c r="A61" s="254"/>
      <x:c r="B61" s="254"/>
      <x:c r="C61" s="254"/>
      <x:c r="D61" s="254"/>
      <x:c r="E61" s="254"/>
      <x:c r="F61" s="254"/>
      <x:c r="G61" s="254"/>
      <x:c r="H61" s="254"/>
      <x:c r="I61" s="254"/>
      <x:c r="J61" s="254"/>
      <x:c r="K61" s="254"/>
    </x:row>
    <x:row r="62">
      <x:c r="A62" s="254"/>
      <x:c r="B62" s="254"/>
      <x:c r="C62" s="254"/>
      <x:c r="D62" s="254"/>
      <x:c r="E62" s="254"/>
      <x:c r="F62" s="254"/>
      <x:c r="G62" s="254"/>
      <x:c r="H62" s="254"/>
      <x:c r="I62" s="254"/>
      <x:c r="J62" s="254"/>
      <x:c r="K62" s="254"/>
    </x:row>
    <x:row r="63">
      <x:c r="A63" s="254"/>
      <x:c r="B63" s="254"/>
      <x:c r="C63" s="254"/>
      <x:c r="D63" s="254"/>
      <x:c r="E63" s="254"/>
      <x:c r="F63" s="254"/>
      <x:c r="G63" s="254"/>
      <x:c r="H63" s="254"/>
      <x:c r="I63" s="254"/>
      <x:c r="J63" s="254"/>
      <x:c r="K63" s="254"/>
    </x:row>
    <x:row r="64">
      <x:c r="A64" s="254"/>
      <x:c r="B64" s="254"/>
      <x:c r="C64" s="254"/>
      <x:c r="D64" s="254"/>
      <x:c r="E64" s="254"/>
      <x:c r="F64" s="254"/>
      <x:c r="G64" s="254"/>
      <x:c r="H64" s="254"/>
      <x:c r="I64" s="254"/>
      <x:c r="J64" s="254"/>
      <x:c r="K64" s="254"/>
    </x:row>
    <x:row r="65">
      <x:c r="A65" s="254"/>
      <x:c r="B65" s="254"/>
      <x:c r="C65" s="254"/>
      <x:c r="D65" s="254"/>
      <x:c r="E65" s="254"/>
      <x:c r="F65" s="254"/>
      <x:c r="G65" s="254"/>
      <x:c r="H65" s="254"/>
      <x:c r="I65" s="254"/>
      <x:c r="J65" s="254"/>
      <x:c r="K65" s="254"/>
    </x:row>
    <x:row r="66">
      <x:c r="A66" s="254"/>
      <x:c r="B66" s="254"/>
      <x:c r="C66" s="254"/>
      <x:c r="D66" s="254"/>
      <x:c r="E66" s="254"/>
      <x:c r="F66" s="254"/>
      <x:c r="G66" s="254"/>
      <x:c r="H66" s="254"/>
      <x:c r="I66" s="254"/>
      <x:c r="J66" s="254"/>
      <x:c r="K66" s="254"/>
    </x:row>
    <x:row r="67">
      <x:c r="A67" s="254"/>
      <x:c r="B67" s="254"/>
      <x:c r="C67" s="254"/>
      <x:c r="D67" s="254"/>
      <x:c r="E67" s="254"/>
      <x:c r="F67" s="254"/>
      <x:c r="G67" s="254"/>
      <x:c r="H67" s="254"/>
      <x:c r="I67" s="254"/>
      <x:c r="J67" s="254"/>
      <x:c r="K67" s="254"/>
    </x:row>
    <x:row r="68">
      <x:c r="A68" s="254"/>
      <x:c r="B68" s="254"/>
      <x:c r="C68" s="254"/>
      <x:c r="D68" s="254"/>
      <x:c r="E68" s="254"/>
      <x:c r="F68" s="254"/>
      <x:c r="G68" s="254"/>
      <x:c r="H68" s="254"/>
      <x:c r="I68" s="254"/>
      <x:c r="J68" s="254"/>
      <x:c r="K68" s="254"/>
    </x:row>
    <x:row r="69">
      <x:c r="A69" s="254"/>
      <x:c r="B69" s="254"/>
      <x:c r="C69" s="254"/>
      <x:c r="D69" s="254"/>
      <x:c r="E69" s="254"/>
      <x:c r="F69" s="254"/>
      <x:c r="G69" s="254"/>
      <x:c r="H69" s="254"/>
      <x:c r="I69" s="254"/>
      <x:c r="J69" s="254"/>
      <x:c r="K69" s="254"/>
    </x:row>
    <x:row r="70">
      <x:c r="A70" s="254"/>
      <x:c r="B70" s="254"/>
      <x:c r="C70" s="254"/>
      <x:c r="D70" s="254"/>
      <x:c r="E70" s="254"/>
      <x:c r="F70" s="254"/>
      <x:c r="G70" s="254"/>
      <x:c r="H70" s="254"/>
      <x:c r="I70" s="254"/>
      <x:c r="J70" s="254"/>
      <x:c r="K70" s="254"/>
    </x:row>
    <x:row r="71">
      <x:c r="A71" s="254"/>
      <x:c r="B71" s="254"/>
      <x:c r="C71" s="254"/>
      <x:c r="D71" s="254"/>
      <x:c r="E71" s="254"/>
      <x:c r="F71" s="254"/>
      <x:c r="G71" s="254"/>
      <x:c r="H71" s="254"/>
      <x:c r="I71" s="254"/>
      <x:c r="J71" s="254"/>
      <x:c r="K71" s="254"/>
    </x:row>
    <x:row r="72">
      <x:c r="A72" s="254"/>
      <x:c r="B72" s="254"/>
      <x:c r="C72" s="254"/>
      <x:c r="D72" s="254"/>
      <x:c r="E72" s="254"/>
      <x:c r="F72" s="254"/>
      <x:c r="G72" s="254"/>
      <x:c r="H72" s="254"/>
      <x:c r="I72" s="254"/>
      <x:c r="J72" s="254"/>
      <x:c r="K72" s="254"/>
    </x:row>
    <x:row r="73">
      <x:c r="A73" s="254"/>
      <x:c r="B73" s="254"/>
      <x:c r="C73" s="254"/>
      <x:c r="D73" s="254"/>
      <x:c r="E73" s="254"/>
      <x:c r="F73" s="254"/>
      <x:c r="G73" s="254"/>
      <x:c r="H73" s="254"/>
      <x:c r="I73" s="254"/>
      <x:c r="J73" s="254"/>
      <x:c r="K73" s="254"/>
    </x:row>
    <x:row r="74">
      <x:c r="A74" s="254"/>
      <x:c r="B74" s="254"/>
      <x:c r="C74" s="254"/>
      <x:c r="D74" s="254"/>
      <x:c r="E74" s="254"/>
      <x:c r="F74" s="254"/>
      <x:c r="G74" s="254"/>
      <x:c r="H74" s="254"/>
      <x:c r="I74" s="254"/>
      <x:c r="J74" s="254"/>
      <x:c r="K74" s="254"/>
    </x:row>
    <x:row r="75">
      <x:c r="A75" s="254"/>
      <x:c r="B75" s="254"/>
      <x:c r="C75" s="254"/>
      <x:c r="D75" s="254"/>
      <x:c r="E75" s="254"/>
      <x:c r="F75" s="254"/>
      <x:c r="G75" s="254"/>
      <x:c r="H75" s="254"/>
      <x:c r="I75" s="254"/>
      <x:c r="J75" s="254"/>
      <x:c r="K75" s="254"/>
    </x:row>
    <x:row r="76">
      <x:c r="A76" s="254"/>
      <x:c r="B76" s="254"/>
      <x:c r="C76" s="254"/>
      <x:c r="D76" s="254"/>
      <x:c r="E76" s="254"/>
      <x:c r="F76" s="254"/>
      <x:c r="G76" s="254"/>
      <x:c r="H76" s="254"/>
      <x:c r="I76" s="254"/>
      <x:c r="J76" s="254"/>
      <x:c r="K76" s="254"/>
    </x:row>
    <x:row r="77">
      <x:c r="A77" s="254"/>
      <x:c r="B77" s="254"/>
      <x:c r="C77" s="254"/>
      <x:c r="D77" s="254"/>
      <x:c r="E77" s="254"/>
      <x:c r="F77" s="254"/>
      <x:c r="G77" s="254"/>
      <x:c r="H77" s="254"/>
      <x:c r="I77" s="254"/>
      <x:c r="J77" s="254"/>
      <x:c r="K77" s="254"/>
    </x:row>
    <x:row r="78">
      <x:c r="A78" s="254"/>
      <x:c r="B78" s="254"/>
      <x:c r="C78" s="254"/>
      <x:c r="D78" s="254"/>
      <x:c r="E78" s="254"/>
      <x:c r="F78" s="254"/>
      <x:c r="G78" s="254"/>
      <x:c r="H78" s="254"/>
      <x:c r="I78" s="254"/>
      <x:c r="J78" s="254"/>
      <x:c r="K78" s="254"/>
    </x:row>
    <x:row r="79">
      <x:c r="A79" s="254"/>
      <x:c r="B79" s="254"/>
      <x:c r="C79" s="254"/>
      <x:c r="D79" s="254"/>
      <x:c r="E79" s="254"/>
      <x:c r="F79" s="254"/>
      <x:c r="G79" s="254"/>
      <x:c r="H79" s="254"/>
      <x:c r="I79" s="254"/>
      <x:c r="J79" s="254"/>
      <x:c r="K79" s="254"/>
    </x:row>
    <x:row r="80">
      <x:c r="A80" s="254"/>
      <x:c r="B80" s="254"/>
      <x:c r="C80" s="254"/>
      <x:c r="D80" s="254"/>
      <x:c r="E80" s="254"/>
      <x:c r="F80" s="254"/>
      <x:c r="G80" s="254"/>
      <x:c r="H80" s="254"/>
      <x:c r="I80" s="254"/>
      <x:c r="J80" s="254"/>
      <x:c r="K80" s="254"/>
    </x:row>
    <x:row r="81">
      <x:c r="A81" s="254"/>
      <x:c r="B81" s="254"/>
      <x:c r="C81" s="254"/>
      <x:c r="D81" s="254"/>
      <x:c r="E81" s="254"/>
      <x:c r="F81" s="254"/>
      <x:c r="G81" s="254"/>
      <x:c r="H81" s="254"/>
      <x:c r="I81" s="254"/>
      <x:c r="J81" s="254"/>
      <x:c r="K81" s="254"/>
    </x:row>
    <x:row r="82">
      <x:c r="A82" s="254"/>
      <x:c r="B82" s="254"/>
      <x:c r="C82" s="254"/>
      <x:c r="D82" s="254"/>
      <x:c r="E82" s="254"/>
      <x:c r="F82" s="254"/>
      <x:c r="G82" s="254"/>
      <x:c r="H82" s="254"/>
      <x:c r="I82" s="254"/>
      <x:c r="J82" s="254"/>
      <x:c r="K82" s="254"/>
    </x:row>
    <x:row r="83">
      <x:c r="A83" s="254"/>
      <x:c r="B83" s="254"/>
      <x:c r="C83" s="254"/>
      <x:c r="D83" s="254"/>
      <x:c r="E83" s="254"/>
      <x:c r="F83" s="254"/>
      <x:c r="G83" s="254"/>
      <x:c r="H83" s="254"/>
      <x:c r="I83" s="254"/>
      <x:c r="J83" s="254"/>
      <x:c r="K83" s="254"/>
    </x:row>
    <x:row r="84">
      <x:c r="A84" s="254"/>
      <x:c r="B84" s="254"/>
      <x:c r="C84" s="254"/>
      <x:c r="D84" s="254"/>
      <x:c r="E84" s="254"/>
      <x:c r="F84" s="254"/>
      <x:c r="G84" s="254"/>
      <x:c r="H84" s="254"/>
      <x:c r="I84" s="254"/>
      <x:c r="J84" s="254"/>
      <x:c r="K84" s="254"/>
    </x:row>
    <x:row r="85">
      <x:c r="A85" s="254"/>
      <x:c r="B85" s="254"/>
      <x:c r="C85" s="254"/>
      <x:c r="D85" s="254"/>
      <x:c r="E85" s="254"/>
      <x:c r="F85" s="254"/>
      <x:c r="G85" s="254"/>
      <x:c r="H85" s="254"/>
      <x:c r="I85" s="254"/>
      <x:c r="J85" s="254"/>
      <x:c r="K85" s="254"/>
    </x:row>
    <x:row r="86">
      <x:c r="A86" s="254"/>
      <x:c r="B86" s="254"/>
      <x:c r="C86" s="254"/>
      <x:c r="D86" s="254"/>
      <x:c r="E86" s="254"/>
      <x:c r="F86" s="254"/>
      <x:c r="G86" s="254"/>
      <x:c r="H86" s="254"/>
      <x:c r="I86" s="254"/>
      <x:c r="J86" s="254"/>
      <x:c r="K86" s="254"/>
    </x:row>
    <x:row r="87">
      <x:c r="A87" s="254"/>
      <x:c r="B87" s="254"/>
      <x:c r="C87" s="254"/>
      <x:c r="D87" s="254"/>
      <x:c r="E87" s="254"/>
      <x:c r="F87" s="254"/>
      <x:c r="G87" s="254"/>
      <x:c r="H87" s="254"/>
      <x:c r="I87" s="254"/>
      <x:c r="J87" s="254"/>
      <x:c r="K87" s="254"/>
    </x:row>
    <x:row r="88">
      <x:c r="A88" s="254"/>
      <x:c r="B88" s="254"/>
      <x:c r="C88" s="254"/>
      <x:c r="D88" s="254"/>
      <x:c r="E88" s="254"/>
      <x:c r="F88" s="254"/>
      <x:c r="G88" s="254"/>
      <x:c r="H88" s="254"/>
      <x:c r="I88" s="254"/>
      <x:c r="J88" s="254"/>
      <x:c r="K88" s="254"/>
    </x:row>
    <x:row r="89">
      <x:c r="A89" s="254"/>
      <x:c r="B89" s="254"/>
      <x:c r="C89" s="254"/>
      <x:c r="D89" s="254"/>
      <x:c r="E89" s="254"/>
      <x:c r="F89" s="254"/>
      <x:c r="G89" s="254"/>
      <x:c r="H89" s="254"/>
      <x:c r="I89" s="254"/>
      <x:c r="J89" s="254"/>
      <x:c r="K89" s="254"/>
    </x:row>
    <x:row r="90">
      <x:c r="A90" s="254"/>
      <x:c r="B90" s="254"/>
      <x:c r="C90" s="254"/>
      <x:c r="D90" s="254"/>
      <x:c r="E90" s="254"/>
      <x:c r="F90" s="254"/>
      <x:c r="G90" s="254"/>
      <x:c r="H90" s="254"/>
      <x:c r="I90" s="254"/>
      <x:c r="J90" s="254"/>
      <x:c r="K90" s="254"/>
    </x:row>
    <x:row r="91">
      <x:c r="A91" s="254"/>
      <x:c r="B91" s="254"/>
      <x:c r="C91" s="254"/>
      <x:c r="D91" s="254"/>
      <x:c r="E91" s="254"/>
      <x:c r="F91" s="254"/>
      <x:c r="G91" s="254"/>
      <x:c r="H91" s="254"/>
      <x:c r="I91" s="254"/>
      <x:c r="J91" s="254"/>
      <x:c r="K91" s="254"/>
    </x:row>
    <x:row r="92">
      <x:c r="A92" s="254"/>
      <x:c r="B92" s="254"/>
      <x:c r="C92" s="254"/>
      <x:c r="D92" s="254"/>
      <x:c r="E92" s="254"/>
      <x:c r="F92" s="254"/>
      <x:c r="G92" s="254"/>
      <x:c r="H92" s="254"/>
      <x:c r="I92" s="254"/>
      <x:c r="J92" s="254"/>
      <x:c r="K92" s="254"/>
    </x:row>
    <x:row r="93">
      <x:c r="A93" s="254"/>
      <x:c r="B93" s="254"/>
      <x:c r="C93" s="254"/>
      <x:c r="D93" s="254"/>
      <x:c r="E93" s="254"/>
      <x:c r="F93" s="254"/>
      <x:c r="G93" s="254"/>
      <x:c r="H93" s="254"/>
      <x:c r="I93" s="254"/>
      <x:c r="J93" s="254"/>
      <x:c r="K93" s="254"/>
    </x:row>
    <x:row r="94">
      <x:c r="A94" s="254"/>
      <x:c r="B94" s="254"/>
      <x:c r="C94" s="254"/>
      <x:c r="D94" s="254"/>
      <x:c r="E94" s="254"/>
      <x:c r="F94" s="254"/>
      <x:c r="G94" s="254"/>
      <x:c r="H94" s="254"/>
      <x:c r="I94" s="254"/>
      <x:c r="J94" s="254"/>
      <x:c r="K94" s="254"/>
    </x:row>
    <x:row r="95">
      <x:c r="A95" s="254"/>
      <x:c r="B95" s="254"/>
      <x:c r="C95" s="254"/>
      <x:c r="D95" s="254"/>
      <x:c r="E95" s="254"/>
      <x:c r="F95" s="254"/>
      <x:c r="G95" s="254"/>
      <x:c r="H95" s="254"/>
      <x:c r="I95" s="254"/>
      <x:c r="J95" s="254"/>
      <x:c r="K95" s="254"/>
    </x:row>
    <x:row r="96">
      <x:c r="A96" s="254"/>
      <x:c r="B96" s="254"/>
      <x:c r="C96" s="254"/>
      <x:c r="D96" s="254"/>
      <x:c r="E96" s="254"/>
      <x:c r="F96" s="254"/>
      <x:c r="G96" s="254"/>
      <x:c r="H96" s="254"/>
      <x:c r="I96" s="254"/>
      <x:c r="J96" s="254"/>
      <x:c r="K96" s="254"/>
    </x:row>
    <x:row r="97">
      <x:c r="A97" s="254"/>
      <x:c r="B97" s="254"/>
      <x:c r="C97" s="254"/>
      <x:c r="D97" s="254"/>
      <x:c r="E97" s="254"/>
      <x:c r="F97" s="254"/>
      <x:c r="G97" s="254"/>
      <x:c r="H97" s="254"/>
      <x:c r="I97" s="254"/>
      <x:c r="J97" s="254"/>
      <x:c r="K97" s="254"/>
    </x:row>
    <x:row r="98">
      <x:c r="A98" s="254"/>
      <x:c r="B98" s="254"/>
      <x:c r="C98" s="254"/>
      <x:c r="D98" s="254"/>
      <x:c r="E98" s="254"/>
      <x:c r="F98" s="254"/>
      <x:c r="G98" s="254"/>
      <x:c r="H98" s="254"/>
      <x:c r="I98" s="254"/>
      <x:c r="J98" s="254"/>
      <x:c r="K98" s="254"/>
    </x:row>
    <x:row r="99">
      <x:c r="A99" s="254"/>
      <x:c r="B99" s="254"/>
      <x:c r="C99" s="254"/>
      <x:c r="D99" s="254"/>
      <x:c r="E99" s="254"/>
      <x:c r="F99" s="254"/>
      <x:c r="G99" s="254"/>
      <x:c r="H99" s="254"/>
      <x:c r="I99" s="254"/>
      <x:c r="J99" s="254"/>
      <x:c r="K99" s="254"/>
    </x:row>
    <x:row r="100">
      <x:c r="A100" s="254"/>
      <x:c r="B100" s="254"/>
      <x:c r="C100" s="254"/>
      <x:c r="D100" s="254"/>
      <x:c r="E100" s="254"/>
      <x:c r="F100" s="254"/>
      <x:c r="G100" s="254"/>
      <x:c r="H100" s="254"/>
      <x:c r="I100" s="254"/>
      <x:c r="J100" s="254"/>
      <x:c r="K100" s="254"/>
    </x:row>
    <x:row r="101">
      <x:c r="A101" s="254"/>
      <x:c r="B101" s="254"/>
      <x:c r="C101" s="254"/>
      <x:c r="D101" s="254"/>
      <x:c r="E101" s="254"/>
      <x:c r="F101" s="254"/>
      <x:c r="G101" s="254"/>
      <x:c r="H101" s="254"/>
      <x:c r="I101" s="254"/>
      <x:c r="J101" s="254"/>
      <x:c r="K101" s="254"/>
    </x:row>
    <x:row r="102">
      <x:c r="A102" s="254"/>
      <x:c r="B102" s="254"/>
      <x:c r="C102" s="254"/>
      <x:c r="D102" s="254"/>
      <x:c r="E102" s="254"/>
      <x:c r="F102" s="254"/>
      <x:c r="G102" s="254"/>
      <x:c r="H102" s="254"/>
      <x:c r="I102" s="254"/>
      <x:c r="J102" s="254"/>
      <x:c r="K102" s="254"/>
    </x:row>
    <x:row r="103">
      <x:c r="A103" s="254"/>
      <x:c r="B103" s="254"/>
      <x:c r="C103" s="254"/>
      <x:c r="D103" s="254"/>
      <x:c r="E103" s="254"/>
      <x:c r="F103" s="254"/>
      <x:c r="G103" s="254"/>
      <x:c r="H103" s="254"/>
      <x:c r="I103" s="254"/>
      <x:c r="J103" s="254"/>
      <x:c r="K103" s="254"/>
    </x:row>
    <x:row r="104">
      <x:c r="A104" s="254"/>
      <x:c r="B104" s="254"/>
      <x:c r="C104" s="254"/>
      <x:c r="D104" s="254"/>
      <x:c r="E104" s="254"/>
      <x:c r="F104" s="254"/>
      <x:c r="G104" s="254"/>
      <x:c r="H104" s="254"/>
      <x:c r="I104" s="254"/>
      <x:c r="J104" s="254"/>
      <x:c r="K104" s="254"/>
    </x:row>
    <x:row r="105">
      <x:c r="A105" s="254"/>
      <x:c r="B105" s="254"/>
      <x:c r="C105" s="254"/>
      <x:c r="D105" s="254"/>
      <x:c r="E105" s="254"/>
      <x:c r="F105" s="254"/>
      <x:c r="G105" s="254"/>
      <x:c r="H105" s="254"/>
      <x:c r="I105" s="254"/>
      <x:c r="J105" s="254"/>
      <x:c r="K105" s="254"/>
    </x:row>
    <x:row r="106">
      <x:c r="A106" s="254"/>
      <x:c r="B106" s="254"/>
      <x:c r="C106" s="254"/>
      <x:c r="D106" s="254"/>
      <x:c r="E106" s="254"/>
      <x:c r="F106" s="254"/>
      <x:c r="G106" s="254"/>
      <x:c r="H106" s="254"/>
      <x:c r="I106" s="254"/>
      <x:c r="J106" s="254"/>
      <x:c r="K106" s="254"/>
    </x:row>
    <x:row r="107">
      <x:c r="A107" s="254"/>
      <x:c r="B107" s="254"/>
      <x:c r="C107" s="254"/>
      <x:c r="D107" s="254"/>
      <x:c r="E107" s="254"/>
      <x:c r="F107" s="254"/>
      <x:c r="G107" s="254"/>
      <x:c r="H107" s="254"/>
      <x:c r="I107" s="254"/>
      <x:c r="J107" s="254"/>
      <x:c r="K107" s="254"/>
    </x:row>
    <x:row r="108">
      <x:c r="A108" s="254"/>
      <x:c r="B108" s="254"/>
      <x:c r="C108" s="254"/>
      <x:c r="D108" s="254"/>
      <x:c r="E108" s="254"/>
      <x:c r="F108" s="254"/>
      <x:c r="G108" s="254"/>
      <x:c r="H108" s="254"/>
      <x:c r="I108" s="254"/>
      <x:c r="J108" s="254"/>
      <x:c r="K108" s="254"/>
    </x:row>
    <x:row r="109">
      <x:c r="A109" s="254"/>
      <x:c r="B109" s="254"/>
      <x:c r="C109" s="254"/>
      <x:c r="D109" s="254"/>
      <x:c r="E109" s="254"/>
      <x:c r="F109" s="254"/>
      <x:c r="G109" s="254"/>
      <x:c r="H109" s="254"/>
      <x:c r="I109" s="254"/>
      <x:c r="J109" s="254"/>
      <x:c r="K109" s="254"/>
    </x:row>
    <x:row r="110">
      <x:c r="A110" s="254"/>
      <x:c r="B110" s="254"/>
      <x:c r="C110" s="254"/>
      <x:c r="D110" s="254"/>
      <x:c r="E110" s="254"/>
      <x:c r="F110" s="254"/>
      <x:c r="G110" s="254"/>
      <x:c r="H110" s="254"/>
      <x:c r="I110" s="254"/>
      <x:c r="J110" s="254"/>
      <x:c r="K110" s="254"/>
    </x:row>
    <x:row r="111">
      <x:c r="A111" s="254"/>
      <x:c r="B111" s="254"/>
      <x:c r="C111" s="254"/>
      <x:c r="D111" s="254"/>
      <x:c r="E111" s="254"/>
      <x:c r="F111" s="254"/>
      <x:c r="G111" s="254"/>
      <x:c r="H111" s="254"/>
      <x:c r="I111" s="254"/>
      <x:c r="J111" s="254"/>
      <x:c r="K111" s="254"/>
    </x:row>
    <x:row r="112">
      <x:c r="A112" s="254"/>
      <x:c r="B112" s="254"/>
      <x:c r="C112" s="254"/>
      <x:c r="D112" s="254"/>
      <x:c r="E112" s="254"/>
      <x:c r="F112" s="254"/>
      <x:c r="G112" s="254"/>
      <x:c r="H112" s="254"/>
      <x:c r="I112" s="254"/>
      <x:c r="J112" s="254"/>
      <x:c r="K112" s="254"/>
    </x:row>
    <x:row r="113">
      <x:c r="A113" s="254"/>
      <x:c r="B113" s="254"/>
      <x:c r="C113" s="254"/>
      <x:c r="D113" s="254"/>
      <x:c r="E113" s="254"/>
      <x:c r="F113" s="254"/>
      <x:c r="G113" s="254"/>
      <x:c r="H113" s="254"/>
      <x:c r="I113" s="254"/>
      <x:c r="J113" s="254"/>
      <x:c r="K113" s="254"/>
    </x:row>
    <x:row r="114">
      <x:c r="A114" s="254"/>
      <x:c r="B114" s="254"/>
      <x:c r="C114" s="254"/>
      <x:c r="D114" s="254"/>
      <x:c r="E114" s="254"/>
      <x:c r="F114" s="254"/>
      <x:c r="G114" s="254"/>
      <x:c r="H114" s="254"/>
      <x:c r="I114" s="254"/>
      <x:c r="J114" s="254"/>
      <x:c r="K114" s="254"/>
    </x:row>
    <x:row r="115">
      <x:c r="A115" s="254"/>
      <x:c r="B115" s="254"/>
      <x:c r="C115" s="254"/>
      <x:c r="D115" s="254"/>
      <x:c r="E115" s="254"/>
      <x:c r="F115" s="254"/>
      <x:c r="G115" s="254"/>
      <x:c r="H115" s="254"/>
      <x:c r="I115" s="254"/>
      <x:c r="J115" s="254"/>
      <x:c r="K115" s="254"/>
    </x:row>
    <x:row r="116">
      <x:c r="A116" s="254"/>
      <x:c r="B116" s="254"/>
      <x:c r="C116" s="254"/>
      <x:c r="D116" s="254"/>
      <x:c r="E116" s="254"/>
      <x:c r="F116" s="254"/>
      <x:c r="G116" s="254"/>
      <x:c r="H116" s="254"/>
      <x:c r="I116" s="254"/>
      <x:c r="J116" s="254"/>
      <x:c r="K116" s="254"/>
    </x:row>
    <x:row r="117">
      <x:c r="A117" s="254"/>
      <x:c r="B117" s="254"/>
      <x:c r="C117" s="254"/>
      <x:c r="D117" s="254"/>
      <x:c r="E117" s="254"/>
      <x:c r="F117" s="254"/>
      <x:c r="G117" s="254"/>
      <x:c r="H117" s="254"/>
      <x:c r="I117" s="254"/>
      <x:c r="J117" s="254"/>
      <x:c r="K117" s="254"/>
    </x:row>
    <x:row r="118">
      <x:c r="A118" s="254"/>
      <x:c r="B118" s="254"/>
      <x:c r="C118" s="254"/>
      <x:c r="D118" s="254"/>
      <x:c r="E118" s="254"/>
      <x:c r="F118" s="254"/>
      <x:c r="G118" s="254"/>
      <x:c r="H118" s="254"/>
      <x:c r="I118" s="254"/>
      <x:c r="J118" s="254"/>
      <x:c r="K118" s="254"/>
    </x:row>
    <x:row r="119">
      <x:c r="A119" s="254"/>
      <x:c r="B119" s="254"/>
      <x:c r="C119" s="254"/>
      <x:c r="D119" s="254"/>
      <x:c r="E119" s="254"/>
      <x:c r="F119" s="254"/>
      <x:c r="G119" s="254"/>
      <x:c r="H119" s="254"/>
      <x:c r="I119" s="254"/>
      <x:c r="J119" s="254"/>
      <x:c r="K119" s="254"/>
    </x:row>
    <x:row r="120">
      <x:c r="A120" s="254"/>
      <x:c r="B120" s="254"/>
      <x:c r="C120" s="254"/>
      <x:c r="D120" s="254"/>
      <x:c r="E120" s="254"/>
      <x:c r="F120" s="254"/>
      <x:c r="G120" s="254"/>
      <x:c r="H120" s="254"/>
      <x:c r="I120" s="254"/>
      <x:c r="J120" s="254"/>
      <x:c r="K120" s="254"/>
    </x:row>
    <x:row r="121">
      <x:c r="A121" s="254"/>
      <x:c r="B121" s="254"/>
      <x:c r="C121" s="254"/>
      <x:c r="D121" s="254"/>
      <x:c r="E121" s="254"/>
      <x:c r="F121" s="254"/>
      <x:c r="G121" s="254"/>
      <x:c r="H121" s="254"/>
      <x:c r="I121" s="254"/>
      <x:c r="J121" s="254"/>
      <x:c r="K121" s="254"/>
    </x:row>
    <x:row r="122">
      <x:c r="A122" s="254"/>
      <x:c r="B122" s="254"/>
      <x:c r="C122" s="254"/>
      <x:c r="D122" s="254"/>
      <x:c r="E122" s="254"/>
      <x:c r="F122" s="254"/>
      <x:c r="G122" s="254"/>
      <x:c r="H122" s="254"/>
      <x:c r="I122" s="254"/>
      <x:c r="J122" s="254"/>
      <x:c r="K122" s="254"/>
    </x:row>
    <x:row r="123">
      <x:c r="A123" s="254"/>
      <x:c r="B123" s="254"/>
      <x:c r="C123" s="254"/>
      <x:c r="D123" s="254"/>
      <x:c r="E123" s="254"/>
      <x:c r="F123" s="254"/>
      <x:c r="G123" s="254"/>
      <x:c r="H123" s="254"/>
      <x:c r="I123" s="254"/>
      <x:c r="J123" s="254"/>
      <x:c r="K123" s="254"/>
    </x:row>
    <x:row r="124">
      <x:c r="A124" s="254"/>
      <x:c r="B124" s="254"/>
      <x:c r="C124" s="254"/>
      <x:c r="D124" s="254"/>
      <x:c r="E124" s="254"/>
      <x:c r="F124" s="254"/>
      <x:c r="G124" s="254"/>
      <x:c r="H124" s="254"/>
      <x:c r="I124" s="254"/>
      <x:c r="J124" s="254"/>
      <x:c r="K124" s="254"/>
    </x:row>
    <x:row r="125">
      <x:c r="A125" s="254"/>
      <x:c r="B125" s="254"/>
      <x:c r="C125" s="254"/>
      <x:c r="D125" s="254"/>
      <x:c r="E125" s="254"/>
      <x:c r="F125" s="254"/>
      <x:c r="G125" s="254"/>
      <x:c r="H125" s="254"/>
      <x:c r="I125" s="254"/>
      <x:c r="J125" s="254"/>
      <x:c r="K125" s="254"/>
    </x:row>
    <x:row r="126">
      <x:c r="A126" s="254"/>
      <x:c r="B126" s="254"/>
      <x:c r="C126" s="254"/>
      <x:c r="D126" s="254"/>
      <x:c r="E126" s="254"/>
      <x:c r="F126" s="254"/>
      <x:c r="G126" s="254"/>
      <x:c r="H126" s="254"/>
      <x:c r="I126" s="254"/>
      <x:c r="J126" s="254"/>
      <x:c r="K126" s="254"/>
    </x:row>
    <x:row r="127">
      <x:c r="A127" s="254"/>
      <x:c r="B127" s="254"/>
      <x:c r="C127" s="254"/>
      <x:c r="D127" s="254"/>
      <x:c r="E127" s="254"/>
      <x:c r="F127" s="254"/>
      <x:c r="G127" s="254"/>
      <x:c r="H127" s="254"/>
      <x:c r="I127" s="254"/>
      <x:c r="J127" s="254"/>
      <x:c r="K127" s="254"/>
    </x:row>
    <x:row r="128">
      <x:c r="A128" s="254"/>
      <x:c r="B128" s="254"/>
      <x:c r="C128" s="254"/>
      <x:c r="D128" s="254"/>
      <x:c r="E128" s="254"/>
      <x:c r="F128" s="254"/>
      <x:c r="G128" s="254"/>
      <x:c r="H128" s="254"/>
      <x:c r="I128" s="254"/>
      <x:c r="J128" s="254"/>
      <x:c r="K128" s="254"/>
    </x:row>
    <x:row r="129">
      <x:c r="A129" s="254"/>
      <x:c r="B129" s="254"/>
      <x:c r="C129" s="254"/>
      <x:c r="D129" s="254"/>
      <x:c r="E129" s="254"/>
      <x:c r="F129" s="254"/>
      <x:c r="G129" s="254"/>
      <x:c r="H129" s="254"/>
      <x:c r="I129" s="254"/>
      <x:c r="J129" s="254"/>
      <x:c r="K129" s="254"/>
    </x:row>
    <x:row r="130">
      <x:c r="A130" s="254"/>
      <x:c r="B130" s="254"/>
      <x:c r="C130" s="254"/>
      <x:c r="D130" s="254"/>
      <x:c r="E130" s="254"/>
      <x:c r="F130" s="254"/>
      <x:c r="G130" s="254"/>
      <x:c r="H130" s="254"/>
      <x:c r="I130" s="254"/>
      <x:c r="J130" s="254"/>
      <x:c r="K130" s="254"/>
    </x:row>
    <x:row r="131">
      <x:c r="A131" s="254"/>
      <x:c r="B131" s="254"/>
      <x:c r="C131" s="254"/>
      <x:c r="D131" s="254"/>
      <x:c r="E131" s="254"/>
      <x:c r="F131" s="254"/>
      <x:c r="G131" s="254"/>
      <x:c r="H131" s="254"/>
      <x:c r="I131" s="254"/>
      <x:c r="J131" s="254"/>
      <x:c r="K131" s="254"/>
    </x:row>
    <x:row r="132">
      <x:c r="A132" s="254"/>
      <x:c r="B132" s="254"/>
      <x:c r="C132" s="254"/>
      <x:c r="D132" s="254"/>
      <x:c r="E132" s="254"/>
      <x:c r="F132" s="254"/>
      <x:c r="G132" s="254"/>
      <x:c r="H132" s="254"/>
      <x:c r="I132" s="254"/>
      <x:c r="J132" s="254"/>
      <x:c r="K132" s="254"/>
    </x:row>
    <x:row r="133">
      <x:c r="A133" s="254"/>
      <x:c r="B133" s="254"/>
      <x:c r="C133" s="254"/>
      <x:c r="D133" s="254"/>
      <x:c r="E133" s="254"/>
      <x:c r="F133" s="254"/>
      <x:c r="G133" s="254"/>
      <x:c r="H133" s="254"/>
      <x:c r="I133" s="254"/>
      <x:c r="J133" s="254"/>
      <x:c r="K133" s="254"/>
    </x:row>
    <x:row r="134">
      <x:c r="A134" s="254"/>
      <x:c r="B134" s="254"/>
      <x:c r="C134" s="254"/>
      <x:c r="D134" s="254"/>
      <x:c r="E134" s="254"/>
      <x:c r="F134" s="254"/>
      <x:c r="G134" s="254"/>
      <x:c r="H134" s="254"/>
      <x:c r="I134" s="254"/>
      <x:c r="J134" s="254"/>
      <x:c r="K134" s="254"/>
    </x:row>
    <x:row r="135">
      <x:c r="A135" s="254"/>
      <x:c r="B135" s="254"/>
      <x:c r="C135" s="254"/>
      <x:c r="D135" s="254"/>
      <x:c r="E135" s="254"/>
      <x:c r="F135" s="254"/>
      <x:c r="G135" s="254"/>
      <x:c r="H135" s="254"/>
      <x:c r="I135" s="254"/>
      <x:c r="J135" s="254"/>
      <x:c r="K135" s="254"/>
    </x:row>
    <x:row r="136">
      <x:c r="A136" s="254"/>
      <x:c r="B136" s="254"/>
      <x:c r="C136" s="254"/>
      <x:c r="D136" s="254"/>
      <x:c r="E136" s="254"/>
      <x:c r="F136" s="254"/>
      <x:c r="G136" s="254"/>
      <x:c r="H136" s="254"/>
      <x:c r="I136" s="254"/>
      <x:c r="J136" s="254"/>
      <x:c r="K136" s="254"/>
    </x:row>
    <x:row r="137">
      <x:c r="A137" s="254"/>
      <x:c r="B137" s="254"/>
      <x:c r="C137" s="254"/>
      <x:c r="D137" s="254"/>
      <x:c r="E137" s="254"/>
      <x:c r="F137" s="254"/>
      <x:c r="G137" s="254"/>
      <x:c r="H137" s="254"/>
      <x:c r="I137" s="254"/>
      <x:c r="J137" s="254"/>
      <x:c r="K137" s="254"/>
    </x:row>
    <x:row r="138">
      <x:c r="A138" s="254"/>
      <x:c r="B138" s="254"/>
      <x:c r="C138" s="254"/>
      <x:c r="D138" s="254"/>
      <x:c r="E138" s="254"/>
      <x:c r="F138" s="254"/>
      <x:c r="G138" s="254"/>
      <x:c r="H138" s="254"/>
      <x:c r="I138" s="254"/>
      <x:c r="J138" s="254"/>
      <x:c r="K138" s="254"/>
    </x:row>
    <x:row r="139">
      <x:c r="A139" s="254"/>
      <x:c r="B139" s="254"/>
      <x:c r="C139" s="254"/>
      <x:c r="D139" s="254"/>
      <x:c r="E139" s="254"/>
      <x:c r="F139" s="254"/>
      <x:c r="G139" s="254"/>
      <x:c r="H139" s="254"/>
      <x:c r="I139" s="254"/>
      <x:c r="J139" s="254"/>
      <x:c r="K139" s="254"/>
    </x:row>
    <x:row r="140">
      <x:c r="A140" s="254"/>
      <x:c r="B140" s="254"/>
      <x:c r="C140" s="254"/>
      <x:c r="D140" s="254"/>
      <x:c r="E140" s="254"/>
      <x:c r="F140" s="254"/>
      <x:c r="G140" s="254"/>
      <x:c r="H140" s="254"/>
      <x:c r="I140" s="254"/>
      <x:c r="J140" s="254"/>
      <x:c r="K140" s="254"/>
    </x:row>
    <x:row r="141">
      <x:c r="A141" s="254"/>
      <x:c r="B141" s="254"/>
      <x:c r="C141" s="254"/>
      <x:c r="D141" s="254"/>
      <x:c r="E141" s="254"/>
      <x:c r="F141" s="254"/>
      <x:c r="G141" s="254"/>
      <x:c r="H141" s="254"/>
      <x:c r="I141" s="254"/>
      <x:c r="J141" s="254"/>
      <x:c r="K141" s="254"/>
    </x:row>
    <x:row r="142">
      <x:c r="A142" s="254"/>
      <x:c r="B142" s="254"/>
      <x:c r="C142" s="254"/>
      <x:c r="D142" s="254"/>
      <x:c r="E142" s="254"/>
      <x:c r="F142" s="254"/>
      <x:c r="G142" s="254"/>
      <x:c r="H142" s="254"/>
      <x:c r="I142" s="254"/>
      <x:c r="J142" s="254"/>
      <x:c r="K142" s="254"/>
    </x:row>
    <x:row r="143">
      <x:c r="A143" s="254"/>
      <x:c r="B143" s="254"/>
      <x:c r="C143" s="254"/>
      <x:c r="D143" s="254"/>
      <x:c r="E143" s="254"/>
      <x:c r="F143" s="254"/>
      <x:c r="G143" s="254"/>
      <x:c r="H143" s="254"/>
      <x:c r="I143" s="254"/>
      <x:c r="J143" s="254"/>
      <x:c r="K143" s="254"/>
    </x:row>
    <x:row r="144">
      <x:c r="A144" s="254"/>
      <x:c r="B144" s="254"/>
      <x:c r="C144" s="254"/>
      <x:c r="D144" s="254"/>
      <x:c r="E144" s="254"/>
      <x:c r="F144" s="254"/>
      <x:c r="G144" s="254"/>
      <x:c r="H144" s="254"/>
      <x:c r="I144" s="254"/>
      <x:c r="J144" s="254"/>
      <x:c r="K144" s="254"/>
    </x:row>
    <x:row r="145">
      <x:c r="A145" s="254"/>
      <x:c r="B145" s="254"/>
      <x:c r="C145" s="254"/>
      <x:c r="D145" s="254"/>
      <x:c r="E145" s="254"/>
      <x:c r="F145" s="254"/>
      <x:c r="G145" s="254"/>
      <x:c r="H145" s="254"/>
      <x:c r="I145" s="254"/>
      <x:c r="J145" s="254"/>
      <x:c r="K145" s="254"/>
    </x:row>
    <x:row r="146">
      <x:c r="A146" s="254"/>
      <x:c r="B146" s="254"/>
      <x:c r="C146" s="254"/>
      <x:c r="D146" s="254"/>
      <x:c r="E146" s="254"/>
      <x:c r="F146" s="254"/>
      <x:c r="G146" s="254"/>
      <x:c r="H146" s="254"/>
      <x:c r="I146" s="254"/>
      <x:c r="J146" s="254"/>
      <x:c r="K146" s="254"/>
    </x:row>
    <x:row r="147">
      <x:c r="A147" s="254"/>
      <x:c r="B147" s="254"/>
      <x:c r="C147" s="254"/>
      <x:c r="D147" s="254"/>
      <x:c r="E147" s="254"/>
      <x:c r="F147" s="254"/>
      <x:c r="G147" s="254"/>
      <x:c r="H147" s="254"/>
      <x:c r="I147" s="254"/>
      <x:c r="J147" s="254"/>
      <x:c r="K147" s="254"/>
    </x:row>
    <x:row r="148">
      <x:c r="A148" s="254"/>
      <x:c r="B148" s="254"/>
      <x:c r="C148" s="254"/>
      <x:c r="D148" s="254"/>
      <x:c r="E148" s="254"/>
      <x:c r="F148" s="254"/>
      <x:c r="G148" s="254"/>
      <x:c r="H148" s="254"/>
      <x:c r="I148" s="254"/>
      <x:c r="J148" s="254"/>
      <x:c r="K148" s="254"/>
    </x:row>
    <x:row r="149">
      <x:c r="A149" s="254"/>
      <x:c r="B149" s="254"/>
      <x:c r="C149" s="254"/>
      <x:c r="D149" s="254"/>
      <x:c r="E149" s="254"/>
      <x:c r="F149" s="254"/>
      <x:c r="G149" s="254"/>
      <x:c r="H149" s="254"/>
      <x:c r="I149" s="254"/>
      <x:c r="J149" s="254"/>
      <x:c r="K149" s="254"/>
    </x:row>
    <x:row r="150">
      <x:c r="A150" s="254"/>
      <x:c r="B150" s="254"/>
      <x:c r="C150" s="254"/>
      <x:c r="D150" s="254"/>
      <x:c r="E150" s="254"/>
      <x:c r="F150" s="254"/>
      <x:c r="G150" s="254"/>
      <x:c r="H150" s="254"/>
      <x:c r="I150" s="254"/>
      <x:c r="J150" s="254"/>
      <x:c r="K150" s="254"/>
    </x:row>
  </x:sheetData>
  <x:mergeCells>
    <x:mergeCell ref="A1:I1"/>
    <x:mergeCell ref="A2:I2"/>
    <x:mergeCell ref="A11:H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5" hidden="0" customWidth="1"/>
    <x:col min="3" max="3" width="45" hidden="0" customWidth="1"/>
    <x:col min="4" max="4" width="42" hidden="0" customWidth="1"/>
    <x:col min="5" max="5" width="58" hidden="0" customWidth="1"/>
  </x:cols>
  <x:sheetData>
    <x:row r="1" ht="25" customHeight="1">
      <x:c r="A1" s="5" t="str">
        <x:v>CCA SOURCE LEDGER</x:v>
      </x:c>
      <x:c r="B1" s="5"/>
      <x:c r="C1" s="5"/>
      <x:c r="D1" s="5"/>
      <x:c r="E1" s="5"/>
      <x:c r="F1" s="254"/>
      <x:c r="G1" s="254"/>
      <x:c r="H1" s="254"/>
      <x:c r="I1" s="254"/>
      <x:c r="J1" s="254"/>
      <x:c r="K1" s="254"/>
    </x:row>
    <x:row r="2" ht="22" customHeight="1">
      <x:c r="A2" s="13" t="str">
        <x:v>Primary sources and methodology notes</x:v>
      </x:c>
      <x:c r="B2" s="13"/>
      <x:c r="C2" s="13"/>
      <x:c r="D2" s="13"/>
      <x:c r="E2" s="13"/>
      <x:c r="F2" s="254"/>
      <x:c r="G2" s="254"/>
      <x:c r="H2" s="254"/>
      <x:c r="I2" s="254"/>
      <x:c r="J2" s="254"/>
      <x:c r="K2" s="254"/>
    </x:row>
    <x:row r="3" ht="32" customHeight="1">
      <x:c r="A3" s="36" t="str">
        <x:v>Bank</x:v>
      </x:c>
      <x:c r="B3" s="37" t="str">
        <x:v>Market Source</x:v>
      </x:c>
      <x:c r="C3" s="37" t="str">
        <x:v>Tangible Book Source</x:v>
      </x:c>
      <x:c r="D3" s="37" t="str">
        <x:v>Operating Source</x:v>
      </x:c>
      <x:c r="E3" s="38" t="str">
        <x:v>Method Note</x:v>
      </x:c>
      <x:c r="F3" s="254"/>
      <x:c r="G3" s="254"/>
      <x:c r="H3" s="254"/>
      <x:c r="I3" s="254"/>
      <x:c r="J3" s="254"/>
      <x:c r="K3" s="254"/>
    </x:row>
    <x:row r="4">
      <x:c r="A4" s="260" t="str">
        <x:v>Axis Bank</x:v>
      </x:c>
      <x:c r="B4" s="261" t="str">
        <x:v>https://www.screener.in/company/532215/</x:v>
      </x:c>
      <x:c r="C4" s="261" t="str">
        <x:v>Standardized balance sheet / S&amp;P Global Market Intelligence</x:v>
      </x:c>
      <x:c r="D4" s="261" t="str">
        <x:v>Issuer Q1 FY27 results</x:v>
      </x:c>
      <x:c r="E4" s="262" t="str">
        <x:v>FY26 common equity, goodwill, tangible equity and shares used for BVPS/TBVPS</x:v>
      </x:c>
      <x:c r="F4" s="254"/>
      <x:c r="G4" s="254"/>
      <x:c r="H4" s="254"/>
      <x:c r="I4" s="254"/>
      <x:c r="J4" s="254"/>
      <x:c r="K4" s="254"/>
    </x:row>
    <x:row r="5">
      <x:c r="A5" s="260" t="str">
        <x:v>HDFC Bank</x:v>
      </x:c>
      <x:c r="B5" s="261" t="str">
        <x:v>https://www.screener.in/company/HDFCBANK/</x:v>
      </x:c>
      <x:c r="C5" s="261" t="str">
        <x:v>Standardized balance sheet / S&amp;P Global Market Intelligence</x:v>
      </x:c>
      <x:c r="D5" s="261" t="str">
        <x:v>Issuer Q1 FY27 results</x:v>
      </x:c>
      <x:c r="E5" s="262" t="str">
        <x:v>FY26 common equity, goodwill, tangible equity and shares used for BVPS/TBVPS</x:v>
      </x:c>
      <x:c r="F5" s="254"/>
      <x:c r="G5" s="254"/>
      <x:c r="H5" s="254"/>
      <x:c r="I5" s="254"/>
      <x:c r="J5" s="254"/>
      <x:c r="K5" s="254"/>
    </x:row>
    <x:row r="6">
      <x:c r="A6" s="260" t="str">
        <x:v>ICICI Bank</x:v>
      </x:c>
      <x:c r="B6" s="261" t="str">
        <x:v>https://www.screener.in/company/ICICIBANK/</x:v>
      </x:c>
      <x:c r="C6" s="261" t="str">
        <x:v>Standardized balance sheet / S&amp;P Global Market Intelligence</x:v>
      </x:c>
      <x:c r="D6" s="261" t="str">
        <x:v>Issuer Q1 FY27 results</x:v>
      </x:c>
      <x:c r="E6" s="262" t="str">
        <x:v>FY26 common equity, goodwill, tangible equity and shares used for BVPS/TBVPS</x:v>
      </x:c>
      <x:c r="F6" s="254"/>
      <x:c r="G6" s="254"/>
      <x:c r="H6" s="254"/>
      <x:c r="I6" s="254"/>
      <x:c r="J6" s="254"/>
      <x:c r="K6" s="254"/>
    </x:row>
    <x:row r="7">
      <x:c r="A7" s="260" t="str">
        <x:v>Kotak Mahindra Bank</x:v>
      </x:c>
      <x:c r="B7" s="261" t="str">
        <x:v>https://www.screener.in/company/KOTAKBANK/</x:v>
      </x:c>
      <x:c r="C7" s="261" t="str">
        <x:v>Standardized balance sheet / S&amp;P Global Market Intelligence</x:v>
      </x:c>
      <x:c r="D7" s="261" t="str">
        <x:v>Issuer Q1 FY27 results</x:v>
      </x:c>
      <x:c r="E7" s="262" t="str">
        <x:v>FY26 common equity, goodwill, tangible equity and shares used for BVPS/TBVPS</x:v>
      </x:c>
      <x:c r="F7" s="254"/>
      <x:c r="G7" s="254"/>
      <x:c r="H7" s="254"/>
      <x:c r="I7" s="254"/>
      <x:c r="J7" s="254"/>
      <x:c r="K7" s="254"/>
    </x:row>
    <x:row r="8">
      <x:c r="A8" s="260" t="str">
        <x:v>Federal Bank</x:v>
      </x:c>
      <x:c r="B8" s="261" t="str">
        <x:v>https://www.screener.in/company/FEDERALBNK/</x:v>
      </x:c>
      <x:c r="C8" s="261" t="str">
        <x:v>Standardized balance sheet / S&amp;P Global Market Intelligence</x:v>
      </x:c>
      <x:c r="D8" s="261" t="str">
        <x:v>Issuer Q1 FY27 results</x:v>
      </x:c>
      <x:c r="E8" s="262" t="str">
        <x:v>FY26 common equity, goodwill, tangible equity and shares used for BVPS/TBVPS</x:v>
      </x:c>
      <x:c r="F8" s="254"/>
      <x:c r="G8" s="254"/>
      <x:c r="H8" s="254"/>
      <x:c r="I8" s="254"/>
      <x:c r="J8" s="254"/>
      <x:c r="K8" s="254"/>
    </x:row>
    <x:row r="9">
      <x:c r="A9" s="260"/>
      <x:c r="B9" s="261"/>
      <x:c r="C9" s="261"/>
      <x:c r="D9" s="261"/>
      <x:c r="E9" s="262"/>
      <x:c r="F9" s="254"/>
      <x:c r="G9" s="254"/>
      <x:c r="H9" s="254"/>
      <x:c r="I9" s="254"/>
      <x:c r="J9" s="254"/>
      <x:c r="K9" s="254"/>
    </x:row>
    <x:row r="10">
      <x:c r="A10" s="260" t="str">
        <x:v>TBV methodology note: Tangible Common Equity = Common Equity − Goodwill − Other Intangible Assets. For Axis Bank, the ₹0.10 Cr Other Intangible Assets line is a reconciliation item derived from the standardized total intangible adjustment less goodwill, to avoid masking a rounding difference.</x:v>
      </x:c>
      <x:c r="B10" s="261"/>
      <x:c r="C10" s="261"/>
      <x:c r="D10" s="261"/>
      <x:c r="E10" s="262"/>
      <x:c r="F10" s="254"/>
      <x:c r="G10" s="254"/>
      <x:c r="H10" s="254"/>
      <x:c r="I10" s="254"/>
      <x:c r="J10" s="254"/>
      <x:c r="K10" s="254"/>
    </x:row>
    <x:row r="11">
      <x:c r="A11" s="254"/>
      <x:c r="B11" s="254"/>
      <x:c r="C11" s="254"/>
      <x:c r="D11" s="254"/>
      <x:c r="E11" s="254"/>
      <x:c r="F11" s="254"/>
      <x:c r="G11" s="254"/>
      <x:c r="H11" s="254"/>
      <x:c r="I11" s="254"/>
      <x:c r="J11" s="254"/>
      <x:c r="K11" s="254"/>
    </x:row>
    <x:row r="12">
      <x:c r="A12" s="254"/>
      <x:c r="B12" s="254"/>
      <x:c r="C12" s="254"/>
      <x:c r="D12" s="254"/>
      <x:c r="E12" s="254"/>
      <x:c r="F12" s="254"/>
      <x:c r="G12" s="254"/>
      <x:c r="H12" s="254"/>
      <x:c r="I12" s="254"/>
      <x:c r="J12" s="254"/>
      <x:c r="K12" s="254"/>
    </x:row>
    <x:row r="13">
      <x:c r="A13" s="254"/>
      <x:c r="B13" s="254"/>
      <x:c r="C13" s="254"/>
      <x:c r="D13" s="254"/>
      <x:c r="E13" s="254"/>
      <x:c r="F13" s="254"/>
      <x:c r="G13" s="254"/>
      <x:c r="H13" s="254"/>
      <x:c r="I13" s="254"/>
      <x:c r="J13" s="254"/>
      <x:c r="K13" s="254"/>
    </x:row>
    <x:row r="14">
      <x:c r="A14" s="254"/>
      <x:c r="B14" s="254"/>
      <x:c r="C14" s="254"/>
      <x:c r="D14" s="254"/>
      <x:c r="E14" s="254"/>
      <x:c r="F14" s="254"/>
      <x:c r="G14" s="254"/>
      <x:c r="H14" s="254"/>
      <x:c r="I14" s="254"/>
      <x:c r="J14" s="254"/>
      <x:c r="K14" s="254"/>
    </x:row>
    <x:row r="15">
      <x:c r="A15" s="254"/>
      <x:c r="B15" s="254"/>
      <x:c r="C15" s="254"/>
      <x:c r="D15" s="254"/>
      <x:c r="E15" s="254"/>
      <x:c r="F15" s="254"/>
      <x:c r="G15" s="254"/>
      <x:c r="H15" s="254"/>
      <x:c r="I15" s="254"/>
      <x:c r="J15" s="254"/>
      <x:c r="K15" s="254"/>
    </x:row>
    <x:row r="16">
      <x:c r="A16" s="254"/>
      <x:c r="B16" s="254"/>
      <x:c r="C16" s="254"/>
      <x:c r="D16" s="254"/>
      <x:c r="E16" s="254"/>
      <x:c r="F16" s="254"/>
      <x:c r="G16" s="254"/>
      <x:c r="H16" s="254"/>
      <x:c r="I16" s="254"/>
      <x:c r="J16" s="254"/>
      <x:c r="K16" s="254"/>
    </x:row>
    <x:row r="17">
      <x:c r="A17" s="254"/>
      <x:c r="B17" s="254"/>
      <x:c r="C17" s="254"/>
      <x:c r="D17" s="254"/>
      <x:c r="E17" s="254"/>
      <x:c r="F17" s="254"/>
      <x:c r="G17" s="254"/>
      <x:c r="H17" s="254"/>
      <x:c r="I17" s="254"/>
      <x:c r="J17" s="254"/>
      <x:c r="K17" s="254"/>
    </x:row>
    <x:row r="18">
      <x:c r="A18" s="254"/>
      <x:c r="B18" s="254"/>
      <x:c r="C18" s="254"/>
      <x:c r="D18" s="254"/>
      <x:c r="E18" s="254"/>
      <x:c r="F18" s="254"/>
      <x:c r="G18" s="254"/>
      <x:c r="H18" s="254"/>
      <x:c r="I18" s="254"/>
      <x:c r="J18" s="254"/>
      <x:c r="K18" s="254"/>
    </x:row>
    <x:row r="19">
      <x:c r="A19" s="254"/>
      <x:c r="B19" s="254"/>
      <x:c r="C19" s="254"/>
      <x:c r="D19" s="254"/>
      <x:c r="E19" s="254"/>
      <x:c r="F19" s="254"/>
      <x:c r="G19" s="254"/>
      <x:c r="H19" s="254"/>
      <x:c r="I19" s="254"/>
      <x:c r="J19" s="254"/>
      <x:c r="K19" s="254"/>
    </x:row>
    <x:row r="20">
      <x:c r="A20" s="254"/>
      <x:c r="B20" s="254"/>
      <x:c r="C20" s="254"/>
      <x:c r="D20" s="254"/>
      <x:c r="E20" s="254"/>
      <x:c r="F20" s="254"/>
      <x:c r="G20" s="254"/>
      <x:c r="H20" s="254"/>
      <x:c r="I20" s="254"/>
      <x:c r="J20" s="254"/>
      <x:c r="K20" s="254"/>
    </x:row>
    <x:row r="21">
      <x:c r="A21" s="254"/>
      <x:c r="B21" s="254"/>
      <x:c r="C21" s="254"/>
      <x:c r="D21" s="254"/>
      <x:c r="E21" s="254"/>
      <x:c r="F21" s="254"/>
      <x:c r="G21" s="254"/>
      <x:c r="H21" s="254"/>
      <x:c r="I21" s="254"/>
      <x:c r="J21" s="254"/>
      <x:c r="K21" s="254"/>
    </x:row>
    <x:row r="22">
      <x:c r="A22" s="254"/>
      <x:c r="B22" s="254"/>
      <x:c r="C22" s="254"/>
      <x:c r="D22" s="254"/>
      <x:c r="E22" s="254"/>
      <x:c r="F22" s="254"/>
      <x:c r="G22" s="254"/>
      <x:c r="H22" s="254"/>
      <x:c r="I22" s="254"/>
      <x:c r="J22" s="254"/>
      <x:c r="K22" s="254"/>
    </x:row>
    <x:row r="23">
      <x:c r="A23" s="254"/>
      <x:c r="B23" s="254"/>
      <x:c r="C23" s="254"/>
      <x:c r="D23" s="254"/>
      <x:c r="E23" s="254"/>
      <x:c r="F23" s="254"/>
      <x:c r="G23" s="254"/>
      <x:c r="H23" s="254"/>
      <x:c r="I23" s="254"/>
      <x:c r="J23" s="254"/>
      <x:c r="K23" s="254"/>
    </x:row>
    <x:row r="24">
      <x:c r="A24" s="254"/>
      <x:c r="B24" s="254"/>
      <x:c r="C24" s="254"/>
      <x:c r="D24" s="254"/>
      <x:c r="E24" s="254"/>
      <x:c r="F24" s="254"/>
      <x:c r="G24" s="254"/>
      <x:c r="H24" s="254"/>
      <x:c r="I24" s="254"/>
      <x:c r="J24" s="254"/>
      <x:c r="K24" s="254"/>
    </x:row>
    <x:row r="25">
      <x:c r="A25" s="254"/>
      <x:c r="B25" s="254"/>
      <x:c r="C25" s="254"/>
      <x:c r="D25" s="254"/>
      <x:c r="E25" s="254"/>
      <x:c r="F25" s="254"/>
      <x:c r="G25" s="254"/>
      <x:c r="H25" s="254"/>
      <x:c r="I25" s="254"/>
      <x:c r="J25" s="254"/>
      <x:c r="K25" s="254"/>
    </x:row>
    <x:row r="26">
      <x:c r="A26" s="254"/>
      <x:c r="B26" s="254"/>
      <x:c r="C26" s="254"/>
      <x:c r="D26" s="254"/>
      <x:c r="E26" s="254"/>
      <x:c r="F26" s="254"/>
      <x:c r="G26" s="254"/>
      <x:c r="H26" s="254"/>
      <x:c r="I26" s="254"/>
      <x:c r="J26" s="254"/>
      <x:c r="K26" s="254"/>
    </x:row>
    <x:row r="27">
      <x:c r="A27" s="254"/>
      <x:c r="B27" s="254"/>
      <x:c r="C27" s="254"/>
      <x:c r="D27" s="254"/>
      <x:c r="E27" s="254"/>
      <x:c r="F27" s="254"/>
      <x:c r="G27" s="254"/>
      <x:c r="H27" s="254"/>
      <x:c r="I27" s="254"/>
      <x:c r="J27" s="254"/>
      <x:c r="K27" s="254"/>
    </x:row>
    <x:row r="28">
      <x:c r="A28" s="254"/>
      <x:c r="B28" s="254"/>
      <x:c r="C28" s="254"/>
      <x:c r="D28" s="254"/>
      <x:c r="E28" s="254"/>
      <x:c r="F28" s="254"/>
      <x:c r="G28" s="254"/>
      <x:c r="H28" s="254"/>
      <x:c r="I28" s="254"/>
      <x:c r="J28" s="254"/>
      <x:c r="K28" s="254"/>
    </x:row>
    <x:row r="29">
      <x:c r="A29" s="254"/>
      <x:c r="B29" s="254"/>
      <x:c r="C29" s="254"/>
      <x:c r="D29" s="254"/>
      <x:c r="E29" s="254"/>
      <x:c r="F29" s="254"/>
      <x:c r="G29" s="254"/>
      <x:c r="H29" s="254"/>
      <x:c r="I29" s="254"/>
      <x:c r="J29" s="254"/>
      <x:c r="K29" s="254"/>
    </x:row>
    <x:row r="30">
      <x:c r="A30" s="254"/>
      <x:c r="B30" s="254"/>
      <x:c r="C30" s="254"/>
      <x:c r="D30" s="254"/>
      <x:c r="E30" s="254"/>
      <x:c r="F30" s="254"/>
      <x:c r="G30" s="254"/>
      <x:c r="H30" s="254"/>
      <x:c r="I30" s="254"/>
      <x:c r="J30" s="254"/>
      <x:c r="K30" s="254"/>
    </x:row>
    <x:row r="31">
      <x:c r="A31" s="254"/>
      <x:c r="B31" s="254"/>
      <x:c r="C31" s="254"/>
      <x:c r="D31" s="254"/>
      <x:c r="E31" s="254"/>
      <x:c r="F31" s="254"/>
      <x:c r="G31" s="254"/>
      <x:c r="H31" s="254"/>
      <x:c r="I31" s="254"/>
      <x:c r="J31" s="254"/>
      <x:c r="K31" s="254"/>
    </x:row>
    <x:row r="32">
      <x:c r="A32" s="254"/>
      <x:c r="B32" s="254"/>
      <x:c r="C32" s="254"/>
      <x:c r="D32" s="254"/>
      <x:c r="E32" s="254"/>
      <x:c r="F32" s="254"/>
      <x:c r="G32" s="254"/>
      <x:c r="H32" s="254"/>
      <x:c r="I32" s="254"/>
      <x:c r="J32" s="254"/>
      <x:c r="K32" s="254"/>
    </x:row>
    <x:row r="33">
      <x:c r="A33" s="254"/>
      <x:c r="B33" s="254"/>
      <x:c r="C33" s="254"/>
      <x:c r="D33" s="254"/>
      <x:c r="E33" s="254"/>
      <x:c r="F33" s="254"/>
      <x:c r="G33" s="254"/>
      <x:c r="H33" s="254"/>
      <x:c r="I33" s="254"/>
      <x:c r="J33" s="254"/>
      <x:c r="K33" s="254"/>
    </x:row>
    <x:row r="34">
      <x:c r="A34" s="254"/>
      <x:c r="B34" s="254"/>
      <x:c r="C34" s="254"/>
      <x:c r="D34" s="254"/>
      <x:c r="E34" s="254"/>
      <x:c r="F34" s="254"/>
      <x:c r="G34" s="254"/>
      <x:c r="H34" s="254"/>
      <x:c r="I34" s="254"/>
      <x:c r="J34" s="254"/>
      <x:c r="K34" s="254"/>
    </x:row>
    <x:row r="35">
      <x:c r="A35" s="254"/>
      <x:c r="B35" s="254"/>
      <x:c r="C35" s="254"/>
      <x:c r="D35" s="254"/>
      <x:c r="E35" s="254"/>
      <x:c r="F35" s="254"/>
      <x:c r="G35" s="254"/>
      <x:c r="H35" s="254"/>
      <x:c r="I35" s="254"/>
      <x:c r="J35" s="254"/>
      <x:c r="K35" s="254"/>
    </x:row>
    <x:row r="36">
      <x:c r="A36" s="254"/>
      <x:c r="B36" s="254"/>
      <x:c r="C36" s="254"/>
      <x:c r="D36" s="254"/>
      <x:c r="E36" s="254"/>
      <x:c r="F36" s="254"/>
      <x:c r="G36" s="254"/>
      <x:c r="H36" s="254"/>
      <x:c r="I36" s="254"/>
      <x:c r="J36" s="254"/>
      <x:c r="K36" s="254"/>
    </x:row>
    <x:row r="37">
      <x:c r="A37" s="254"/>
      <x:c r="B37" s="254"/>
      <x:c r="C37" s="254"/>
      <x:c r="D37" s="254"/>
      <x:c r="E37" s="254"/>
      <x:c r="F37" s="254"/>
      <x:c r="G37" s="254"/>
      <x:c r="H37" s="254"/>
      <x:c r="I37" s="254"/>
      <x:c r="J37" s="254"/>
      <x:c r="K37" s="254"/>
    </x:row>
    <x:row r="38">
      <x:c r="A38" s="254"/>
      <x:c r="B38" s="254"/>
      <x:c r="C38" s="254"/>
      <x:c r="D38" s="254"/>
      <x:c r="E38" s="254"/>
      <x:c r="F38" s="254"/>
      <x:c r="G38" s="254"/>
      <x:c r="H38" s="254"/>
      <x:c r="I38" s="254"/>
      <x:c r="J38" s="254"/>
      <x:c r="K38" s="254"/>
    </x:row>
    <x:row r="39">
      <x:c r="A39" s="254"/>
      <x:c r="B39" s="254"/>
      <x:c r="C39" s="254"/>
      <x:c r="D39" s="254"/>
      <x:c r="E39" s="254"/>
      <x:c r="F39" s="254"/>
      <x:c r="G39" s="254"/>
      <x:c r="H39" s="254"/>
      <x:c r="I39" s="254"/>
      <x:c r="J39" s="254"/>
      <x:c r="K39" s="254"/>
    </x:row>
    <x:row r="40">
      <x:c r="A40" s="254"/>
      <x:c r="B40" s="254"/>
      <x:c r="C40" s="254"/>
      <x:c r="D40" s="254"/>
      <x:c r="E40" s="254"/>
      <x:c r="F40" s="254"/>
      <x:c r="G40" s="254"/>
      <x:c r="H40" s="254"/>
      <x:c r="I40" s="254"/>
      <x:c r="J40" s="254"/>
      <x:c r="K40" s="254"/>
    </x:row>
    <x:row r="41">
      <x:c r="A41" s="254"/>
      <x:c r="B41" s="254"/>
      <x:c r="C41" s="254"/>
      <x:c r="D41" s="254"/>
      <x:c r="E41" s="254"/>
      <x:c r="F41" s="254"/>
      <x:c r="G41" s="254"/>
      <x:c r="H41" s="254"/>
      <x:c r="I41" s="254"/>
      <x:c r="J41" s="254"/>
      <x:c r="K41" s="254"/>
    </x:row>
    <x:row r="42">
      <x:c r="A42" s="254"/>
      <x:c r="B42" s="254"/>
      <x:c r="C42" s="254"/>
      <x:c r="D42" s="254"/>
      <x:c r="E42" s="254"/>
      <x:c r="F42" s="254"/>
      <x:c r="G42" s="254"/>
      <x:c r="H42" s="254"/>
      <x:c r="I42" s="254"/>
      <x:c r="J42" s="254"/>
      <x:c r="K42" s="254"/>
    </x:row>
    <x:row r="43">
      <x:c r="A43" s="254"/>
      <x:c r="B43" s="254"/>
      <x:c r="C43" s="254"/>
      <x:c r="D43" s="254"/>
      <x:c r="E43" s="254"/>
      <x:c r="F43" s="254"/>
      <x:c r="G43" s="254"/>
      <x:c r="H43" s="254"/>
      <x:c r="I43" s="254"/>
      <x:c r="J43" s="254"/>
      <x:c r="K43" s="254"/>
    </x:row>
    <x:row r="44">
      <x:c r="A44" s="254"/>
      <x:c r="B44" s="254"/>
      <x:c r="C44" s="254"/>
      <x:c r="D44" s="254"/>
      <x:c r="E44" s="254"/>
      <x:c r="F44" s="254"/>
      <x:c r="G44" s="254"/>
      <x:c r="H44" s="254"/>
      <x:c r="I44" s="254"/>
      <x:c r="J44" s="254"/>
      <x:c r="K44" s="254"/>
    </x:row>
    <x:row r="45">
      <x:c r="A45" s="254"/>
      <x:c r="B45" s="254"/>
      <x:c r="C45" s="254"/>
      <x:c r="D45" s="254"/>
      <x:c r="E45" s="254"/>
      <x:c r="F45" s="254"/>
      <x:c r="G45" s="254"/>
      <x:c r="H45" s="254"/>
      <x:c r="I45" s="254"/>
      <x:c r="J45" s="254"/>
      <x:c r="K45" s="254"/>
    </x:row>
    <x:row r="46">
      <x:c r="A46" s="254"/>
      <x:c r="B46" s="254"/>
      <x:c r="C46" s="254"/>
      <x:c r="D46" s="254"/>
      <x:c r="E46" s="254"/>
      <x:c r="F46" s="254"/>
      <x:c r="G46" s="254"/>
      <x:c r="H46" s="254"/>
      <x:c r="I46" s="254"/>
      <x:c r="J46" s="254"/>
      <x:c r="K46" s="254"/>
    </x:row>
    <x:row r="47">
      <x:c r="A47" s="254"/>
      <x:c r="B47" s="254"/>
      <x:c r="C47" s="254"/>
      <x:c r="D47" s="254"/>
      <x:c r="E47" s="254"/>
      <x:c r="F47" s="254"/>
      <x:c r="G47" s="254"/>
      <x:c r="H47" s="254"/>
      <x:c r="I47" s="254"/>
      <x:c r="J47" s="254"/>
      <x:c r="K47" s="254"/>
    </x:row>
    <x:row r="48">
      <x:c r="A48" s="254"/>
      <x:c r="B48" s="254"/>
      <x:c r="C48" s="254"/>
      <x:c r="D48" s="254"/>
      <x:c r="E48" s="254"/>
      <x:c r="F48" s="254"/>
      <x:c r="G48" s="254"/>
      <x:c r="H48" s="254"/>
      <x:c r="I48" s="254"/>
      <x:c r="J48" s="254"/>
      <x:c r="K48" s="254"/>
    </x:row>
    <x:row r="49">
      <x:c r="A49" s="254"/>
      <x:c r="B49" s="254"/>
      <x:c r="C49" s="254"/>
      <x:c r="D49" s="254"/>
      <x:c r="E49" s="254"/>
      <x:c r="F49" s="254"/>
      <x:c r="G49" s="254"/>
      <x:c r="H49" s="254"/>
      <x:c r="I49" s="254"/>
      <x:c r="J49" s="254"/>
      <x:c r="K49" s="254"/>
    </x:row>
    <x:row r="50">
      <x:c r="A50" s="254"/>
      <x:c r="B50" s="254"/>
      <x:c r="C50" s="254"/>
      <x:c r="D50" s="254"/>
      <x:c r="E50" s="254"/>
      <x:c r="F50" s="254"/>
      <x:c r="G50" s="254"/>
      <x:c r="H50" s="254"/>
      <x:c r="I50" s="254"/>
      <x:c r="J50" s="254"/>
      <x:c r="K50" s="254"/>
    </x:row>
    <x:row r="51">
      <x:c r="A51" s="254"/>
      <x:c r="B51" s="254"/>
      <x:c r="C51" s="254"/>
      <x:c r="D51" s="254"/>
      <x:c r="E51" s="254"/>
      <x:c r="F51" s="254"/>
      <x:c r="G51" s="254"/>
      <x:c r="H51" s="254"/>
      <x:c r="I51" s="254"/>
      <x:c r="J51" s="254"/>
      <x:c r="K51" s="254"/>
    </x:row>
    <x:row r="52">
      <x:c r="A52" s="254"/>
      <x:c r="B52" s="254"/>
      <x:c r="C52" s="254"/>
      <x:c r="D52" s="254"/>
      <x:c r="E52" s="254"/>
      <x:c r="F52" s="254"/>
      <x:c r="G52" s="254"/>
      <x:c r="H52" s="254"/>
      <x:c r="I52" s="254"/>
      <x:c r="J52" s="254"/>
      <x:c r="K52" s="254"/>
    </x:row>
    <x:row r="53">
      <x:c r="A53" s="254"/>
      <x:c r="B53" s="254"/>
      <x:c r="C53" s="254"/>
      <x:c r="D53" s="254"/>
      <x:c r="E53" s="254"/>
      <x:c r="F53" s="254"/>
      <x:c r="G53" s="254"/>
      <x:c r="H53" s="254"/>
      <x:c r="I53" s="254"/>
      <x:c r="J53" s="254"/>
      <x:c r="K53" s="254"/>
    </x:row>
    <x:row r="54">
      <x:c r="A54" s="254"/>
      <x:c r="B54" s="254"/>
      <x:c r="C54" s="254"/>
      <x:c r="D54" s="254"/>
      <x:c r="E54" s="254"/>
      <x:c r="F54" s="254"/>
      <x:c r="G54" s="254"/>
      <x:c r="H54" s="254"/>
      <x:c r="I54" s="254"/>
      <x:c r="J54" s="254"/>
      <x:c r="K54" s="254"/>
    </x:row>
    <x:row r="55">
      <x:c r="A55" s="254"/>
      <x:c r="B55" s="254"/>
      <x:c r="C55" s="254"/>
      <x:c r="D55" s="254"/>
      <x:c r="E55" s="254"/>
      <x:c r="F55" s="254"/>
      <x:c r="G55" s="254"/>
      <x:c r="H55" s="254"/>
      <x:c r="I55" s="254"/>
      <x:c r="J55" s="254"/>
      <x:c r="K55" s="254"/>
    </x:row>
    <x:row r="56">
      <x:c r="A56" s="254"/>
      <x:c r="B56" s="254"/>
      <x:c r="C56" s="254"/>
      <x:c r="D56" s="254"/>
      <x:c r="E56" s="254"/>
      <x:c r="F56" s="254"/>
      <x:c r="G56" s="254"/>
      <x:c r="H56" s="254"/>
      <x:c r="I56" s="254"/>
      <x:c r="J56" s="254"/>
      <x:c r="K56" s="254"/>
    </x:row>
    <x:row r="57">
      <x:c r="A57" s="254"/>
      <x:c r="B57" s="254"/>
      <x:c r="C57" s="254"/>
      <x:c r="D57" s="254"/>
      <x:c r="E57" s="254"/>
      <x:c r="F57" s="254"/>
      <x:c r="G57" s="254"/>
      <x:c r="H57" s="254"/>
      <x:c r="I57" s="254"/>
      <x:c r="J57" s="254"/>
      <x:c r="K57" s="254"/>
    </x:row>
    <x:row r="58">
      <x:c r="A58" s="254"/>
      <x:c r="B58" s="254"/>
      <x:c r="C58" s="254"/>
      <x:c r="D58" s="254"/>
      <x:c r="E58" s="254"/>
      <x:c r="F58" s="254"/>
      <x:c r="G58" s="254"/>
      <x:c r="H58" s="254"/>
      <x:c r="I58" s="254"/>
      <x:c r="J58" s="254"/>
      <x:c r="K58" s="254"/>
    </x:row>
    <x:row r="59">
      <x:c r="A59" s="254"/>
      <x:c r="B59" s="254"/>
      <x:c r="C59" s="254"/>
      <x:c r="D59" s="254"/>
      <x:c r="E59" s="254"/>
      <x:c r="F59" s="254"/>
      <x:c r="G59" s="254"/>
      <x:c r="H59" s="254"/>
      <x:c r="I59" s="254"/>
      <x:c r="J59" s="254"/>
      <x:c r="K59" s="254"/>
    </x:row>
    <x:row r="60">
      <x:c r="A60" s="254"/>
      <x:c r="B60" s="254"/>
      <x:c r="C60" s="254"/>
      <x:c r="D60" s="254"/>
      <x:c r="E60" s="254"/>
      <x:c r="F60" s="254"/>
      <x:c r="G60" s="254"/>
      <x:c r="H60" s="254"/>
      <x:c r="I60" s="254"/>
      <x:c r="J60" s="254"/>
      <x:c r="K60" s="254"/>
    </x:row>
    <x:row r="61">
      <x:c r="A61" s="254"/>
      <x:c r="B61" s="254"/>
      <x:c r="C61" s="254"/>
      <x:c r="D61" s="254"/>
      <x:c r="E61" s="254"/>
      <x:c r="F61" s="254"/>
      <x:c r="G61" s="254"/>
      <x:c r="H61" s="254"/>
      <x:c r="I61" s="254"/>
      <x:c r="J61" s="254"/>
      <x:c r="K61" s="254"/>
    </x:row>
    <x:row r="62">
      <x:c r="A62" s="254"/>
      <x:c r="B62" s="254"/>
      <x:c r="C62" s="254"/>
      <x:c r="D62" s="254"/>
      <x:c r="E62" s="254"/>
      <x:c r="F62" s="254"/>
      <x:c r="G62" s="254"/>
      <x:c r="H62" s="254"/>
      <x:c r="I62" s="254"/>
      <x:c r="J62" s="254"/>
      <x:c r="K62" s="254"/>
    </x:row>
    <x:row r="63">
      <x:c r="A63" s="254"/>
      <x:c r="B63" s="254"/>
      <x:c r="C63" s="254"/>
      <x:c r="D63" s="254"/>
      <x:c r="E63" s="254"/>
      <x:c r="F63" s="254"/>
      <x:c r="G63" s="254"/>
      <x:c r="H63" s="254"/>
      <x:c r="I63" s="254"/>
      <x:c r="J63" s="254"/>
      <x:c r="K63" s="254"/>
    </x:row>
    <x:row r="64">
      <x:c r="A64" s="254"/>
      <x:c r="B64" s="254"/>
      <x:c r="C64" s="254"/>
      <x:c r="D64" s="254"/>
      <x:c r="E64" s="254"/>
      <x:c r="F64" s="254"/>
      <x:c r="G64" s="254"/>
      <x:c r="H64" s="254"/>
      <x:c r="I64" s="254"/>
      <x:c r="J64" s="254"/>
      <x:c r="K64" s="254"/>
    </x:row>
    <x:row r="65">
      <x:c r="A65" s="254"/>
      <x:c r="B65" s="254"/>
      <x:c r="C65" s="254"/>
      <x:c r="D65" s="254"/>
      <x:c r="E65" s="254"/>
      <x:c r="F65" s="254"/>
      <x:c r="G65" s="254"/>
      <x:c r="H65" s="254"/>
      <x:c r="I65" s="254"/>
      <x:c r="J65" s="254"/>
      <x:c r="K65" s="254"/>
    </x:row>
    <x:row r="66">
      <x:c r="A66" s="254"/>
      <x:c r="B66" s="254"/>
      <x:c r="C66" s="254"/>
      <x:c r="D66" s="254"/>
      <x:c r="E66" s="254"/>
      <x:c r="F66" s="254"/>
      <x:c r="G66" s="254"/>
      <x:c r="H66" s="254"/>
      <x:c r="I66" s="254"/>
      <x:c r="J66" s="254"/>
      <x:c r="K66" s="254"/>
    </x:row>
    <x:row r="67">
      <x:c r="A67" s="254"/>
      <x:c r="B67" s="254"/>
      <x:c r="C67" s="254"/>
      <x:c r="D67" s="254"/>
      <x:c r="E67" s="254"/>
      <x:c r="F67" s="254"/>
      <x:c r="G67" s="254"/>
      <x:c r="H67" s="254"/>
      <x:c r="I67" s="254"/>
      <x:c r="J67" s="254"/>
      <x:c r="K67" s="254"/>
    </x:row>
    <x:row r="68">
      <x:c r="A68" s="254"/>
      <x:c r="B68" s="254"/>
      <x:c r="C68" s="254"/>
      <x:c r="D68" s="254"/>
      <x:c r="E68" s="254"/>
      <x:c r="F68" s="254"/>
      <x:c r="G68" s="254"/>
      <x:c r="H68" s="254"/>
      <x:c r="I68" s="254"/>
      <x:c r="J68" s="254"/>
      <x:c r="K68" s="254"/>
    </x:row>
    <x:row r="69">
      <x:c r="A69" s="254"/>
      <x:c r="B69" s="254"/>
      <x:c r="C69" s="254"/>
      <x:c r="D69" s="254"/>
      <x:c r="E69" s="254"/>
      <x:c r="F69" s="254"/>
      <x:c r="G69" s="254"/>
      <x:c r="H69" s="254"/>
      <x:c r="I69" s="254"/>
      <x:c r="J69" s="254"/>
      <x:c r="K69" s="254"/>
    </x:row>
    <x:row r="70">
      <x:c r="A70" s="254"/>
      <x:c r="B70" s="254"/>
      <x:c r="C70" s="254"/>
      <x:c r="D70" s="254"/>
      <x:c r="E70" s="254"/>
      <x:c r="F70" s="254"/>
      <x:c r="G70" s="254"/>
      <x:c r="H70" s="254"/>
      <x:c r="I70" s="254"/>
      <x:c r="J70" s="254"/>
      <x:c r="K70" s="254"/>
    </x:row>
    <x:row r="71">
      <x:c r="A71" s="254"/>
      <x:c r="B71" s="254"/>
      <x:c r="C71" s="254"/>
      <x:c r="D71" s="254"/>
      <x:c r="E71" s="254"/>
      <x:c r="F71" s="254"/>
      <x:c r="G71" s="254"/>
      <x:c r="H71" s="254"/>
      <x:c r="I71" s="254"/>
      <x:c r="J71" s="254"/>
      <x:c r="K71" s="254"/>
    </x:row>
    <x:row r="72">
      <x:c r="A72" s="254"/>
      <x:c r="B72" s="254"/>
      <x:c r="C72" s="254"/>
      <x:c r="D72" s="254"/>
      <x:c r="E72" s="254"/>
      <x:c r="F72" s="254"/>
      <x:c r="G72" s="254"/>
      <x:c r="H72" s="254"/>
      <x:c r="I72" s="254"/>
      <x:c r="J72" s="254"/>
      <x:c r="K72" s="254"/>
    </x:row>
    <x:row r="73">
      <x:c r="A73" s="254"/>
      <x:c r="B73" s="254"/>
      <x:c r="C73" s="254"/>
      <x:c r="D73" s="254"/>
      <x:c r="E73" s="254"/>
      <x:c r="F73" s="254"/>
      <x:c r="G73" s="254"/>
      <x:c r="H73" s="254"/>
      <x:c r="I73" s="254"/>
      <x:c r="J73" s="254"/>
      <x:c r="K73" s="254"/>
    </x:row>
    <x:row r="74">
      <x:c r="A74" s="254"/>
      <x:c r="B74" s="254"/>
      <x:c r="C74" s="254"/>
      <x:c r="D74" s="254"/>
      <x:c r="E74" s="254"/>
      <x:c r="F74" s="254"/>
      <x:c r="G74" s="254"/>
      <x:c r="H74" s="254"/>
      <x:c r="I74" s="254"/>
      <x:c r="J74" s="254"/>
      <x:c r="K74" s="254"/>
    </x:row>
    <x:row r="75">
      <x:c r="A75" s="254"/>
      <x:c r="B75" s="254"/>
      <x:c r="C75" s="254"/>
      <x:c r="D75" s="254"/>
      <x:c r="E75" s="254"/>
      <x:c r="F75" s="254"/>
      <x:c r="G75" s="254"/>
      <x:c r="H75" s="254"/>
      <x:c r="I75" s="254"/>
      <x:c r="J75" s="254"/>
      <x:c r="K75" s="254"/>
    </x:row>
    <x:row r="76">
      <x:c r="A76" s="254"/>
      <x:c r="B76" s="254"/>
      <x:c r="C76" s="254"/>
      <x:c r="D76" s="254"/>
      <x:c r="E76" s="254"/>
      <x:c r="F76" s="254"/>
      <x:c r="G76" s="254"/>
      <x:c r="H76" s="254"/>
      <x:c r="I76" s="254"/>
      <x:c r="J76" s="254"/>
      <x:c r="K76" s="254"/>
    </x:row>
    <x:row r="77">
      <x:c r="A77" s="254"/>
      <x:c r="B77" s="254"/>
      <x:c r="C77" s="254"/>
      <x:c r="D77" s="254"/>
      <x:c r="E77" s="254"/>
      <x:c r="F77" s="254"/>
      <x:c r="G77" s="254"/>
      <x:c r="H77" s="254"/>
      <x:c r="I77" s="254"/>
      <x:c r="J77" s="254"/>
      <x:c r="K77" s="254"/>
    </x:row>
    <x:row r="78">
      <x:c r="A78" s="254"/>
      <x:c r="B78" s="254"/>
      <x:c r="C78" s="254"/>
      <x:c r="D78" s="254"/>
      <x:c r="E78" s="254"/>
      <x:c r="F78" s="254"/>
      <x:c r="G78" s="254"/>
      <x:c r="H78" s="254"/>
      <x:c r="I78" s="254"/>
      <x:c r="J78" s="254"/>
      <x:c r="K78" s="254"/>
    </x:row>
    <x:row r="79">
      <x:c r="A79" s="254"/>
      <x:c r="B79" s="254"/>
      <x:c r="C79" s="254"/>
      <x:c r="D79" s="254"/>
      <x:c r="E79" s="254"/>
      <x:c r="F79" s="254"/>
      <x:c r="G79" s="254"/>
      <x:c r="H79" s="254"/>
      <x:c r="I79" s="254"/>
      <x:c r="J79" s="254"/>
      <x:c r="K79" s="254"/>
    </x:row>
    <x:row r="80">
      <x:c r="A80" s="254"/>
      <x:c r="B80" s="254"/>
      <x:c r="C80" s="254"/>
      <x:c r="D80" s="254"/>
      <x:c r="E80" s="254"/>
      <x:c r="F80" s="254"/>
      <x:c r="G80" s="254"/>
      <x:c r="H80" s="254"/>
      <x:c r="I80" s="254"/>
      <x:c r="J80" s="254"/>
      <x:c r="K80" s="254"/>
    </x:row>
    <x:row r="81">
      <x:c r="A81" s="254"/>
      <x:c r="B81" s="254"/>
      <x:c r="C81" s="254"/>
      <x:c r="D81" s="254"/>
      <x:c r="E81" s="254"/>
      <x:c r="F81" s="254"/>
      <x:c r="G81" s="254"/>
      <x:c r="H81" s="254"/>
      <x:c r="I81" s="254"/>
      <x:c r="J81" s="254"/>
      <x:c r="K81" s="254"/>
    </x:row>
    <x:row r="82">
      <x:c r="A82" s="254"/>
      <x:c r="B82" s="254"/>
      <x:c r="C82" s="254"/>
      <x:c r="D82" s="254"/>
      <x:c r="E82" s="254"/>
      <x:c r="F82" s="254"/>
      <x:c r="G82" s="254"/>
      <x:c r="H82" s="254"/>
      <x:c r="I82" s="254"/>
      <x:c r="J82" s="254"/>
      <x:c r="K82" s="254"/>
    </x:row>
    <x:row r="83">
      <x:c r="A83" s="254"/>
      <x:c r="B83" s="254"/>
      <x:c r="C83" s="254"/>
      <x:c r="D83" s="254"/>
      <x:c r="E83" s="254"/>
      <x:c r="F83" s="254"/>
      <x:c r="G83" s="254"/>
      <x:c r="H83" s="254"/>
      <x:c r="I83" s="254"/>
      <x:c r="J83" s="254"/>
      <x:c r="K83" s="254"/>
    </x:row>
    <x:row r="84">
      <x:c r="A84" s="254"/>
      <x:c r="B84" s="254"/>
      <x:c r="C84" s="254"/>
      <x:c r="D84" s="254"/>
      <x:c r="E84" s="254"/>
      <x:c r="F84" s="254"/>
      <x:c r="G84" s="254"/>
      <x:c r="H84" s="254"/>
      <x:c r="I84" s="254"/>
      <x:c r="J84" s="254"/>
      <x:c r="K84" s="254"/>
    </x:row>
    <x:row r="85">
      <x:c r="A85" s="254"/>
      <x:c r="B85" s="254"/>
      <x:c r="C85" s="254"/>
      <x:c r="D85" s="254"/>
      <x:c r="E85" s="254"/>
      <x:c r="F85" s="254"/>
      <x:c r="G85" s="254"/>
      <x:c r="H85" s="254"/>
      <x:c r="I85" s="254"/>
      <x:c r="J85" s="254"/>
      <x:c r="K85" s="254"/>
    </x:row>
    <x:row r="86">
      <x:c r="A86" s="254"/>
      <x:c r="B86" s="254"/>
      <x:c r="C86" s="254"/>
      <x:c r="D86" s="254"/>
      <x:c r="E86" s="254"/>
      <x:c r="F86" s="254"/>
      <x:c r="G86" s="254"/>
      <x:c r="H86" s="254"/>
      <x:c r="I86" s="254"/>
      <x:c r="J86" s="254"/>
      <x:c r="K86" s="254"/>
    </x:row>
    <x:row r="87">
      <x:c r="A87" s="254"/>
      <x:c r="B87" s="254"/>
      <x:c r="C87" s="254"/>
      <x:c r="D87" s="254"/>
      <x:c r="E87" s="254"/>
      <x:c r="F87" s="254"/>
      <x:c r="G87" s="254"/>
      <x:c r="H87" s="254"/>
      <x:c r="I87" s="254"/>
      <x:c r="J87" s="254"/>
      <x:c r="K87" s="254"/>
    </x:row>
    <x:row r="88">
      <x:c r="A88" s="254"/>
      <x:c r="B88" s="254"/>
      <x:c r="C88" s="254"/>
      <x:c r="D88" s="254"/>
      <x:c r="E88" s="254"/>
      <x:c r="F88" s="254"/>
      <x:c r="G88" s="254"/>
      <x:c r="H88" s="254"/>
      <x:c r="I88" s="254"/>
      <x:c r="J88" s="254"/>
      <x:c r="K88" s="254"/>
    </x:row>
    <x:row r="89">
      <x:c r="A89" s="254"/>
      <x:c r="B89" s="254"/>
      <x:c r="C89" s="254"/>
      <x:c r="D89" s="254"/>
      <x:c r="E89" s="254"/>
      <x:c r="F89" s="254"/>
      <x:c r="G89" s="254"/>
      <x:c r="H89" s="254"/>
      <x:c r="I89" s="254"/>
      <x:c r="J89" s="254"/>
      <x:c r="K89" s="254"/>
    </x:row>
    <x:row r="90">
      <x:c r="A90" s="254"/>
      <x:c r="B90" s="254"/>
      <x:c r="C90" s="254"/>
      <x:c r="D90" s="254"/>
      <x:c r="E90" s="254"/>
      <x:c r="F90" s="254"/>
      <x:c r="G90" s="254"/>
      <x:c r="H90" s="254"/>
      <x:c r="I90" s="254"/>
      <x:c r="J90" s="254"/>
      <x:c r="K90" s="254"/>
    </x:row>
    <x:row r="91">
      <x:c r="A91" s="254"/>
      <x:c r="B91" s="254"/>
      <x:c r="C91" s="254"/>
      <x:c r="D91" s="254"/>
      <x:c r="E91" s="254"/>
      <x:c r="F91" s="254"/>
      <x:c r="G91" s="254"/>
      <x:c r="H91" s="254"/>
      <x:c r="I91" s="254"/>
      <x:c r="J91" s="254"/>
      <x:c r="K91" s="254"/>
    </x:row>
    <x:row r="92">
      <x:c r="A92" s="254"/>
      <x:c r="B92" s="254"/>
      <x:c r="C92" s="254"/>
      <x:c r="D92" s="254"/>
      <x:c r="E92" s="254"/>
      <x:c r="F92" s="254"/>
      <x:c r="G92" s="254"/>
      <x:c r="H92" s="254"/>
      <x:c r="I92" s="254"/>
      <x:c r="J92" s="254"/>
      <x:c r="K92" s="254"/>
    </x:row>
    <x:row r="93">
      <x:c r="A93" s="254"/>
      <x:c r="B93" s="254"/>
      <x:c r="C93" s="254"/>
      <x:c r="D93" s="254"/>
      <x:c r="E93" s="254"/>
      <x:c r="F93" s="254"/>
      <x:c r="G93" s="254"/>
      <x:c r="H93" s="254"/>
      <x:c r="I93" s="254"/>
      <x:c r="J93" s="254"/>
      <x:c r="K93" s="254"/>
    </x:row>
    <x:row r="94">
      <x:c r="A94" s="254"/>
      <x:c r="B94" s="254"/>
      <x:c r="C94" s="254"/>
      <x:c r="D94" s="254"/>
      <x:c r="E94" s="254"/>
      <x:c r="F94" s="254"/>
      <x:c r="G94" s="254"/>
      <x:c r="H94" s="254"/>
      <x:c r="I94" s="254"/>
      <x:c r="J94" s="254"/>
      <x:c r="K94" s="254"/>
    </x:row>
    <x:row r="95">
      <x:c r="A95" s="254"/>
      <x:c r="B95" s="254"/>
      <x:c r="C95" s="254"/>
      <x:c r="D95" s="254"/>
      <x:c r="E95" s="254"/>
      <x:c r="F95" s="254"/>
      <x:c r="G95" s="254"/>
      <x:c r="H95" s="254"/>
      <x:c r="I95" s="254"/>
      <x:c r="J95" s="254"/>
      <x:c r="K95" s="254"/>
    </x:row>
    <x:row r="96">
      <x:c r="A96" s="254"/>
      <x:c r="B96" s="254"/>
      <x:c r="C96" s="254"/>
      <x:c r="D96" s="254"/>
      <x:c r="E96" s="254"/>
      <x:c r="F96" s="254"/>
      <x:c r="G96" s="254"/>
      <x:c r="H96" s="254"/>
      <x:c r="I96" s="254"/>
      <x:c r="J96" s="254"/>
      <x:c r="K96" s="254"/>
    </x:row>
    <x:row r="97">
      <x:c r="A97" s="254"/>
      <x:c r="B97" s="254"/>
      <x:c r="C97" s="254"/>
      <x:c r="D97" s="254"/>
      <x:c r="E97" s="254"/>
      <x:c r="F97" s="254"/>
      <x:c r="G97" s="254"/>
      <x:c r="H97" s="254"/>
      <x:c r="I97" s="254"/>
      <x:c r="J97" s="254"/>
      <x:c r="K97" s="254"/>
    </x:row>
    <x:row r="98">
      <x:c r="A98" s="254"/>
      <x:c r="B98" s="254"/>
      <x:c r="C98" s="254"/>
      <x:c r="D98" s="254"/>
      <x:c r="E98" s="254"/>
      <x:c r="F98" s="254"/>
      <x:c r="G98" s="254"/>
      <x:c r="H98" s="254"/>
      <x:c r="I98" s="254"/>
      <x:c r="J98" s="254"/>
      <x:c r="K98" s="254"/>
    </x:row>
    <x:row r="99">
      <x:c r="A99" s="254"/>
      <x:c r="B99" s="254"/>
      <x:c r="C99" s="254"/>
      <x:c r="D99" s="254"/>
      <x:c r="E99" s="254"/>
      <x:c r="F99" s="254"/>
      <x:c r="G99" s="254"/>
      <x:c r="H99" s="254"/>
      <x:c r="I99" s="254"/>
      <x:c r="J99" s="254"/>
      <x:c r="K99" s="254"/>
    </x:row>
    <x:row r="100">
      <x:c r="A100" s="254"/>
      <x:c r="B100" s="254"/>
      <x:c r="C100" s="254"/>
      <x:c r="D100" s="254"/>
      <x:c r="E100" s="254"/>
      <x:c r="F100" s="254"/>
      <x:c r="G100" s="254"/>
      <x:c r="H100" s="254"/>
      <x:c r="I100" s="254"/>
      <x:c r="J100" s="254"/>
      <x:c r="K100" s="254"/>
    </x:row>
    <x:row r="101">
      <x:c r="A101" s="254"/>
      <x:c r="B101" s="254"/>
      <x:c r="C101" s="254"/>
      <x:c r="D101" s="254"/>
      <x:c r="E101" s="254"/>
      <x:c r="F101" s="254"/>
      <x:c r="G101" s="254"/>
      <x:c r="H101" s="254"/>
      <x:c r="I101" s="254"/>
      <x:c r="J101" s="254"/>
      <x:c r="K101" s="254"/>
    </x:row>
    <x:row r="102">
      <x:c r="A102" s="254"/>
      <x:c r="B102" s="254"/>
      <x:c r="C102" s="254"/>
      <x:c r="D102" s="254"/>
      <x:c r="E102" s="254"/>
      <x:c r="F102" s="254"/>
      <x:c r="G102" s="254"/>
      <x:c r="H102" s="254"/>
      <x:c r="I102" s="254"/>
      <x:c r="J102" s="254"/>
      <x:c r="K102" s="254"/>
    </x:row>
    <x:row r="103">
      <x:c r="A103" s="254"/>
      <x:c r="B103" s="254"/>
      <x:c r="C103" s="254"/>
      <x:c r="D103" s="254"/>
      <x:c r="E103" s="254"/>
      <x:c r="F103" s="254"/>
      <x:c r="G103" s="254"/>
      <x:c r="H103" s="254"/>
      <x:c r="I103" s="254"/>
      <x:c r="J103" s="254"/>
      <x:c r="K103" s="254"/>
    </x:row>
    <x:row r="104">
      <x:c r="A104" s="254"/>
      <x:c r="B104" s="254"/>
      <x:c r="C104" s="254"/>
      <x:c r="D104" s="254"/>
      <x:c r="E104" s="254"/>
      <x:c r="F104" s="254"/>
      <x:c r="G104" s="254"/>
      <x:c r="H104" s="254"/>
      <x:c r="I104" s="254"/>
      <x:c r="J104" s="254"/>
      <x:c r="K104" s="254"/>
    </x:row>
    <x:row r="105">
      <x:c r="A105" s="254"/>
      <x:c r="B105" s="254"/>
      <x:c r="C105" s="254"/>
      <x:c r="D105" s="254"/>
      <x:c r="E105" s="254"/>
      <x:c r="F105" s="254"/>
      <x:c r="G105" s="254"/>
      <x:c r="H105" s="254"/>
      <x:c r="I105" s="254"/>
      <x:c r="J105" s="254"/>
      <x:c r="K105" s="254"/>
    </x:row>
    <x:row r="106">
      <x:c r="A106" s="254"/>
      <x:c r="B106" s="254"/>
      <x:c r="C106" s="254"/>
      <x:c r="D106" s="254"/>
      <x:c r="E106" s="254"/>
      <x:c r="F106" s="254"/>
      <x:c r="G106" s="254"/>
      <x:c r="H106" s="254"/>
      <x:c r="I106" s="254"/>
      <x:c r="J106" s="254"/>
      <x:c r="K106" s="254"/>
    </x:row>
    <x:row r="107">
      <x:c r="A107" s="254"/>
      <x:c r="B107" s="254"/>
      <x:c r="C107" s="254"/>
      <x:c r="D107" s="254"/>
      <x:c r="E107" s="254"/>
      <x:c r="F107" s="254"/>
      <x:c r="G107" s="254"/>
      <x:c r="H107" s="254"/>
      <x:c r="I107" s="254"/>
      <x:c r="J107" s="254"/>
      <x:c r="K107" s="254"/>
    </x:row>
    <x:row r="108">
      <x:c r="A108" s="254"/>
      <x:c r="B108" s="254"/>
      <x:c r="C108" s="254"/>
      <x:c r="D108" s="254"/>
      <x:c r="E108" s="254"/>
      <x:c r="F108" s="254"/>
      <x:c r="G108" s="254"/>
      <x:c r="H108" s="254"/>
      <x:c r="I108" s="254"/>
      <x:c r="J108" s="254"/>
      <x:c r="K108" s="254"/>
    </x:row>
    <x:row r="109">
      <x:c r="A109" s="254"/>
      <x:c r="B109" s="254"/>
      <x:c r="C109" s="254"/>
      <x:c r="D109" s="254"/>
      <x:c r="E109" s="254"/>
      <x:c r="F109" s="254"/>
      <x:c r="G109" s="254"/>
      <x:c r="H109" s="254"/>
      <x:c r="I109" s="254"/>
      <x:c r="J109" s="254"/>
      <x:c r="K109" s="254"/>
    </x:row>
    <x:row r="110">
      <x:c r="A110" s="254"/>
      <x:c r="B110" s="254"/>
      <x:c r="C110" s="254"/>
      <x:c r="D110" s="254"/>
      <x:c r="E110" s="254"/>
      <x:c r="F110" s="254"/>
      <x:c r="G110" s="254"/>
      <x:c r="H110" s="254"/>
      <x:c r="I110" s="254"/>
      <x:c r="J110" s="254"/>
      <x:c r="K110" s="254"/>
    </x:row>
    <x:row r="111">
      <x:c r="A111" s="254"/>
      <x:c r="B111" s="254"/>
      <x:c r="C111" s="254"/>
      <x:c r="D111" s="254"/>
      <x:c r="E111" s="254"/>
      <x:c r="F111" s="254"/>
      <x:c r="G111" s="254"/>
      <x:c r="H111" s="254"/>
      <x:c r="I111" s="254"/>
      <x:c r="J111" s="254"/>
      <x:c r="K111" s="254"/>
    </x:row>
    <x:row r="112">
      <x:c r="A112" s="254"/>
      <x:c r="B112" s="254"/>
      <x:c r="C112" s="254"/>
      <x:c r="D112" s="254"/>
      <x:c r="E112" s="254"/>
      <x:c r="F112" s="254"/>
      <x:c r="G112" s="254"/>
      <x:c r="H112" s="254"/>
      <x:c r="I112" s="254"/>
      <x:c r="J112" s="254"/>
      <x:c r="K112" s="254"/>
    </x:row>
    <x:row r="113">
      <x:c r="A113" s="254"/>
      <x:c r="B113" s="254"/>
      <x:c r="C113" s="254"/>
      <x:c r="D113" s="254"/>
      <x:c r="E113" s="254"/>
      <x:c r="F113" s="254"/>
      <x:c r="G113" s="254"/>
      <x:c r="H113" s="254"/>
      <x:c r="I113" s="254"/>
      <x:c r="J113" s="254"/>
      <x:c r="K113" s="254"/>
    </x:row>
    <x:row r="114">
      <x:c r="A114" s="254"/>
      <x:c r="B114" s="254"/>
      <x:c r="C114" s="254"/>
      <x:c r="D114" s="254"/>
      <x:c r="E114" s="254"/>
      <x:c r="F114" s="254"/>
      <x:c r="G114" s="254"/>
      <x:c r="H114" s="254"/>
      <x:c r="I114" s="254"/>
      <x:c r="J114" s="254"/>
      <x:c r="K114" s="254"/>
    </x:row>
    <x:row r="115">
      <x:c r="A115" s="254"/>
      <x:c r="B115" s="254"/>
      <x:c r="C115" s="254"/>
      <x:c r="D115" s="254"/>
      <x:c r="E115" s="254"/>
      <x:c r="F115" s="254"/>
      <x:c r="G115" s="254"/>
      <x:c r="H115" s="254"/>
      <x:c r="I115" s="254"/>
      <x:c r="J115" s="254"/>
      <x:c r="K115" s="254"/>
    </x:row>
    <x:row r="116">
      <x:c r="A116" s="254"/>
      <x:c r="B116" s="254"/>
      <x:c r="C116" s="254"/>
      <x:c r="D116" s="254"/>
      <x:c r="E116" s="254"/>
      <x:c r="F116" s="254"/>
      <x:c r="G116" s="254"/>
      <x:c r="H116" s="254"/>
      <x:c r="I116" s="254"/>
      <x:c r="J116" s="254"/>
      <x:c r="K116" s="254"/>
    </x:row>
    <x:row r="117">
      <x:c r="A117" s="254"/>
      <x:c r="B117" s="254"/>
      <x:c r="C117" s="254"/>
      <x:c r="D117" s="254"/>
      <x:c r="E117" s="254"/>
      <x:c r="F117" s="254"/>
      <x:c r="G117" s="254"/>
      <x:c r="H117" s="254"/>
      <x:c r="I117" s="254"/>
      <x:c r="J117" s="254"/>
      <x:c r="K117" s="254"/>
    </x:row>
    <x:row r="118">
      <x:c r="A118" s="254"/>
      <x:c r="B118" s="254"/>
      <x:c r="C118" s="254"/>
      <x:c r="D118" s="254"/>
      <x:c r="E118" s="254"/>
      <x:c r="F118" s="254"/>
      <x:c r="G118" s="254"/>
      <x:c r="H118" s="254"/>
      <x:c r="I118" s="254"/>
      <x:c r="J118" s="254"/>
      <x:c r="K118" s="254"/>
    </x:row>
    <x:row r="119">
      <x:c r="A119" s="254"/>
      <x:c r="B119" s="254"/>
      <x:c r="C119" s="254"/>
      <x:c r="D119" s="254"/>
      <x:c r="E119" s="254"/>
      <x:c r="F119" s="254"/>
      <x:c r="G119" s="254"/>
      <x:c r="H119" s="254"/>
      <x:c r="I119" s="254"/>
      <x:c r="J119" s="254"/>
      <x:c r="K119" s="254"/>
    </x:row>
    <x:row r="120">
      <x:c r="A120" s="254"/>
      <x:c r="B120" s="254"/>
      <x:c r="C120" s="254"/>
      <x:c r="D120" s="254"/>
      <x:c r="E120" s="254"/>
      <x:c r="F120" s="254"/>
      <x:c r="G120" s="254"/>
      <x:c r="H120" s="254"/>
      <x:c r="I120" s="254"/>
      <x:c r="J120" s="254"/>
      <x:c r="K120" s="254"/>
    </x:row>
    <x:row r="121">
      <x:c r="A121" s="254"/>
      <x:c r="B121" s="254"/>
      <x:c r="C121" s="254"/>
      <x:c r="D121" s="254"/>
      <x:c r="E121" s="254"/>
      <x:c r="F121" s="254"/>
      <x:c r="G121" s="254"/>
      <x:c r="H121" s="254"/>
      <x:c r="I121" s="254"/>
      <x:c r="J121" s="254"/>
      <x:c r="K121" s="254"/>
    </x:row>
    <x:row r="122">
      <x:c r="A122" s="254"/>
      <x:c r="B122" s="254"/>
      <x:c r="C122" s="254"/>
      <x:c r="D122" s="254"/>
      <x:c r="E122" s="254"/>
      <x:c r="F122" s="254"/>
      <x:c r="G122" s="254"/>
      <x:c r="H122" s="254"/>
      <x:c r="I122" s="254"/>
      <x:c r="J122" s="254"/>
      <x:c r="K122" s="254"/>
    </x:row>
    <x:row r="123">
      <x:c r="A123" s="254"/>
      <x:c r="B123" s="254"/>
      <x:c r="C123" s="254"/>
      <x:c r="D123" s="254"/>
      <x:c r="E123" s="254"/>
      <x:c r="F123" s="254"/>
      <x:c r="G123" s="254"/>
      <x:c r="H123" s="254"/>
      <x:c r="I123" s="254"/>
      <x:c r="J123" s="254"/>
      <x:c r="K123" s="254"/>
    </x:row>
    <x:row r="124">
      <x:c r="A124" s="254"/>
      <x:c r="B124" s="254"/>
      <x:c r="C124" s="254"/>
      <x:c r="D124" s="254"/>
      <x:c r="E124" s="254"/>
      <x:c r="F124" s="254"/>
      <x:c r="G124" s="254"/>
      <x:c r="H124" s="254"/>
      <x:c r="I124" s="254"/>
      <x:c r="J124" s="254"/>
      <x:c r="K124" s="254"/>
    </x:row>
    <x:row r="125">
      <x:c r="A125" s="254"/>
      <x:c r="B125" s="254"/>
      <x:c r="C125" s="254"/>
      <x:c r="D125" s="254"/>
      <x:c r="E125" s="254"/>
      <x:c r="F125" s="254"/>
      <x:c r="G125" s="254"/>
      <x:c r="H125" s="254"/>
      <x:c r="I125" s="254"/>
      <x:c r="J125" s="254"/>
      <x:c r="K125" s="254"/>
    </x:row>
    <x:row r="126">
      <x:c r="A126" s="254"/>
      <x:c r="B126" s="254"/>
      <x:c r="C126" s="254"/>
      <x:c r="D126" s="254"/>
      <x:c r="E126" s="254"/>
      <x:c r="F126" s="254"/>
      <x:c r="G126" s="254"/>
      <x:c r="H126" s="254"/>
      <x:c r="I126" s="254"/>
      <x:c r="J126" s="254"/>
      <x:c r="K126" s="254"/>
    </x:row>
    <x:row r="127">
      <x:c r="A127" s="254"/>
      <x:c r="B127" s="254"/>
      <x:c r="C127" s="254"/>
      <x:c r="D127" s="254"/>
      <x:c r="E127" s="254"/>
      <x:c r="F127" s="254"/>
      <x:c r="G127" s="254"/>
      <x:c r="H127" s="254"/>
      <x:c r="I127" s="254"/>
      <x:c r="J127" s="254"/>
      <x:c r="K127" s="254"/>
    </x:row>
    <x:row r="128">
      <x:c r="A128" s="254"/>
      <x:c r="B128" s="254"/>
      <x:c r="C128" s="254"/>
      <x:c r="D128" s="254"/>
      <x:c r="E128" s="254"/>
      <x:c r="F128" s="254"/>
      <x:c r="G128" s="254"/>
      <x:c r="H128" s="254"/>
      <x:c r="I128" s="254"/>
      <x:c r="J128" s="254"/>
      <x:c r="K128" s="254"/>
    </x:row>
    <x:row r="129">
      <x:c r="A129" s="254"/>
      <x:c r="B129" s="254"/>
      <x:c r="C129" s="254"/>
      <x:c r="D129" s="254"/>
      <x:c r="E129" s="254"/>
      <x:c r="F129" s="254"/>
      <x:c r="G129" s="254"/>
      <x:c r="H129" s="254"/>
      <x:c r="I129" s="254"/>
      <x:c r="J129" s="254"/>
      <x:c r="K129" s="254"/>
    </x:row>
    <x:row r="130">
      <x:c r="A130" s="254"/>
      <x:c r="B130" s="254"/>
      <x:c r="C130" s="254"/>
      <x:c r="D130" s="254"/>
      <x:c r="E130" s="254"/>
      <x:c r="F130" s="254"/>
      <x:c r="G130" s="254"/>
      <x:c r="H130" s="254"/>
      <x:c r="I130" s="254"/>
      <x:c r="J130" s="254"/>
      <x:c r="K130" s="254"/>
    </x:row>
    <x:row r="131">
      <x:c r="A131" s="254"/>
      <x:c r="B131" s="254"/>
      <x:c r="C131" s="254"/>
      <x:c r="D131" s="254"/>
      <x:c r="E131" s="254"/>
      <x:c r="F131" s="254"/>
      <x:c r="G131" s="254"/>
      <x:c r="H131" s="254"/>
      <x:c r="I131" s="254"/>
      <x:c r="J131" s="254"/>
      <x:c r="K131" s="254"/>
    </x:row>
    <x:row r="132">
      <x:c r="A132" s="254"/>
      <x:c r="B132" s="254"/>
      <x:c r="C132" s="254"/>
      <x:c r="D132" s="254"/>
      <x:c r="E132" s="254"/>
      <x:c r="F132" s="254"/>
      <x:c r="G132" s="254"/>
      <x:c r="H132" s="254"/>
      <x:c r="I132" s="254"/>
      <x:c r="J132" s="254"/>
      <x:c r="K132" s="254"/>
    </x:row>
    <x:row r="133">
      <x:c r="A133" s="254"/>
      <x:c r="B133" s="254"/>
      <x:c r="C133" s="254"/>
      <x:c r="D133" s="254"/>
      <x:c r="E133" s="254"/>
      <x:c r="F133" s="254"/>
      <x:c r="G133" s="254"/>
      <x:c r="H133" s="254"/>
      <x:c r="I133" s="254"/>
      <x:c r="J133" s="254"/>
      <x:c r="K133" s="254"/>
    </x:row>
    <x:row r="134">
      <x:c r="A134" s="254"/>
      <x:c r="B134" s="254"/>
      <x:c r="C134" s="254"/>
      <x:c r="D134" s="254"/>
      <x:c r="E134" s="254"/>
      <x:c r="F134" s="254"/>
      <x:c r="G134" s="254"/>
      <x:c r="H134" s="254"/>
      <x:c r="I134" s="254"/>
      <x:c r="J134" s="254"/>
      <x:c r="K134" s="254"/>
    </x:row>
    <x:row r="135">
      <x:c r="A135" s="254"/>
      <x:c r="B135" s="254"/>
      <x:c r="C135" s="254"/>
      <x:c r="D135" s="254"/>
      <x:c r="E135" s="254"/>
      <x:c r="F135" s="254"/>
      <x:c r="G135" s="254"/>
      <x:c r="H135" s="254"/>
      <x:c r="I135" s="254"/>
      <x:c r="J135" s="254"/>
      <x:c r="K135" s="254"/>
    </x:row>
    <x:row r="136">
      <x:c r="A136" s="254"/>
      <x:c r="B136" s="254"/>
      <x:c r="C136" s="254"/>
      <x:c r="D136" s="254"/>
      <x:c r="E136" s="254"/>
      <x:c r="F136" s="254"/>
      <x:c r="G136" s="254"/>
      <x:c r="H136" s="254"/>
      <x:c r="I136" s="254"/>
      <x:c r="J136" s="254"/>
      <x:c r="K136" s="254"/>
    </x:row>
    <x:row r="137">
      <x:c r="A137" s="254"/>
      <x:c r="B137" s="254"/>
      <x:c r="C137" s="254"/>
      <x:c r="D137" s="254"/>
      <x:c r="E137" s="254"/>
      <x:c r="F137" s="254"/>
      <x:c r="G137" s="254"/>
      <x:c r="H137" s="254"/>
      <x:c r="I137" s="254"/>
      <x:c r="J137" s="254"/>
      <x:c r="K137" s="254"/>
    </x:row>
    <x:row r="138">
      <x:c r="A138" s="254"/>
      <x:c r="B138" s="254"/>
      <x:c r="C138" s="254"/>
      <x:c r="D138" s="254"/>
      <x:c r="E138" s="254"/>
      <x:c r="F138" s="254"/>
      <x:c r="G138" s="254"/>
      <x:c r="H138" s="254"/>
      <x:c r="I138" s="254"/>
      <x:c r="J138" s="254"/>
      <x:c r="K138" s="254"/>
    </x:row>
    <x:row r="139">
      <x:c r="A139" s="254"/>
      <x:c r="B139" s="254"/>
      <x:c r="C139" s="254"/>
      <x:c r="D139" s="254"/>
      <x:c r="E139" s="254"/>
      <x:c r="F139" s="254"/>
      <x:c r="G139" s="254"/>
      <x:c r="H139" s="254"/>
      <x:c r="I139" s="254"/>
      <x:c r="J139" s="254"/>
      <x:c r="K139" s="254"/>
    </x:row>
    <x:row r="140">
      <x:c r="A140" s="254"/>
      <x:c r="B140" s="254"/>
      <x:c r="C140" s="254"/>
      <x:c r="D140" s="254"/>
      <x:c r="E140" s="254"/>
      <x:c r="F140" s="254"/>
      <x:c r="G140" s="254"/>
      <x:c r="H140" s="254"/>
      <x:c r="I140" s="254"/>
      <x:c r="J140" s="254"/>
      <x:c r="K140" s="254"/>
    </x:row>
    <x:row r="141">
      <x:c r="A141" s="254"/>
      <x:c r="B141" s="254"/>
      <x:c r="C141" s="254"/>
      <x:c r="D141" s="254"/>
      <x:c r="E141" s="254"/>
      <x:c r="F141" s="254"/>
      <x:c r="G141" s="254"/>
      <x:c r="H141" s="254"/>
      <x:c r="I141" s="254"/>
      <x:c r="J141" s="254"/>
      <x:c r="K141" s="254"/>
    </x:row>
    <x:row r="142">
      <x:c r="A142" s="254"/>
      <x:c r="B142" s="254"/>
      <x:c r="C142" s="254"/>
      <x:c r="D142" s="254"/>
      <x:c r="E142" s="254"/>
      <x:c r="F142" s="254"/>
      <x:c r="G142" s="254"/>
      <x:c r="H142" s="254"/>
      <x:c r="I142" s="254"/>
      <x:c r="J142" s="254"/>
      <x:c r="K142" s="254"/>
    </x:row>
    <x:row r="143">
      <x:c r="A143" s="254"/>
      <x:c r="B143" s="254"/>
      <x:c r="C143" s="254"/>
      <x:c r="D143" s="254"/>
      <x:c r="E143" s="254"/>
      <x:c r="F143" s="254"/>
      <x:c r="G143" s="254"/>
      <x:c r="H143" s="254"/>
      <x:c r="I143" s="254"/>
      <x:c r="J143" s="254"/>
      <x:c r="K143" s="254"/>
    </x:row>
    <x:row r="144">
      <x:c r="A144" s="254"/>
      <x:c r="B144" s="254"/>
      <x:c r="C144" s="254"/>
      <x:c r="D144" s="254"/>
      <x:c r="E144" s="254"/>
      <x:c r="F144" s="254"/>
      <x:c r="G144" s="254"/>
      <x:c r="H144" s="254"/>
      <x:c r="I144" s="254"/>
      <x:c r="J144" s="254"/>
      <x:c r="K144" s="254"/>
    </x:row>
    <x:row r="145">
      <x:c r="A145" s="254"/>
      <x:c r="B145" s="254"/>
      <x:c r="C145" s="254"/>
      <x:c r="D145" s="254"/>
      <x:c r="E145" s="254"/>
      <x:c r="F145" s="254"/>
      <x:c r="G145" s="254"/>
      <x:c r="H145" s="254"/>
      <x:c r="I145" s="254"/>
      <x:c r="J145" s="254"/>
      <x:c r="K145" s="254"/>
    </x:row>
    <x:row r="146">
      <x:c r="A146" s="254"/>
      <x:c r="B146" s="254"/>
      <x:c r="C146" s="254"/>
      <x:c r="D146" s="254"/>
      <x:c r="E146" s="254"/>
      <x:c r="F146" s="254"/>
      <x:c r="G146" s="254"/>
      <x:c r="H146" s="254"/>
      <x:c r="I146" s="254"/>
      <x:c r="J146" s="254"/>
      <x:c r="K146" s="254"/>
    </x:row>
    <x:row r="147">
      <x:c r="A147" s="254"/>
      <x:c r="B147" s="254"/>
      <x:c r="C147" s="254"/>
      <x:c r="D147" s="254"/>
      <x:c r="E147" s="254"/>
      <x:c r="F147" s="254"/>
      <x:c r="G147" s="254"/>
      <x:c r="H147" s="254"/>
      <x:c r="I147" s="254"/>
      <x:c r="J147" s="254"/>
      <x:c r="K147" s="254"/>
    </x:row>
    <x:row r="148">
      <x:c r="A148" s="254"/>
      <x:c r="B148" s="254"/>
      <x:c r="C148" s="254"/>
      <x:c r="D148" s="254"/>
      <x:c r="E148" s="254"/>
      <x:c r="F148" s="254"/>
      <x:c r="G148" s="254"/>
      <x:c r="H148" s="254"/>
      <x:c r="I148" s="254"/>
      <x:c r="J148" s="254"/>
      <x:c r="K148" s="254"/>
    </x:row>
    <x:row r="149">
      <x:c r="A149" s="254"/>
      <x:c r="B149" s="254"/>
      <x:c r="C149" s="254"/>
      <x:c r="D149" s="254"/>
      <x:c r="E149" s="254"/>
      <x:c r="F149" s="254"/>
      <x:c r="G149" s="254"/>
      <x:c r="H149" s="254"/>
      <x:c r="I149" s="254"/>
      <x:c r="J149" s="254"/>
      <x:c r="K149" s="254"/>
    </x:row>
    <x:row r="150">
      <x:c r="A150" s="254"/>
      <x:c r="B150" s="254"/>
      <x:c r="C150" s="254"/>
      <x:c r="D150" s="254"/>
      <x:c r="E150" s="254"/>
      <x:c r="F150" s="254"/>
      <x:c r="G150" s="254"/>
      <x:c r="H150" s="254"/>
      <x:c r="I150" s="254"/>
      <x:c r="J150" s="254"/>
      <x:c r="K150" s="254"/>
    </x:row>
  </x:sheetData>
  <x:mergeCells>
    <x:mergeCell ref="A1:E1"/>
    <x:mergeCell ref="A2:E2"/>
    <x:mergeCell ref="A10:E1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55" hidden="0" customWidth="1"/>
    <x:col min="4" max="4" width="35" hidden="0" customWidth="1"/>
  </x:cols>
  <x:sheetData>
    <x:row r="1" ht="25" customHeight="1">
      <x:c r="A1" s="5" t="str">
        <x:v>CCA QA / RECONCILIATION CHECKS</x:v>
      </x:c>
      <x:c r="B1" s="5"/>
      <x:c r="C1" s="5"/>
      <x:c r="D1" s="5"/>
      <x:c r="E1" s="254"/>
      <x:c r="F1" s="254"/>
      <x:c r="G1" s="254"/>
      <x:c r="H1" s="254"/>
      <x:c r="I1" s="254"/>
      <x:c r="J1" s="254"/>
      <x:c r="K1" s="254"/>
    </x:row>
    <x:row r="2" ht="22" customHeight="1">
      <x:c r="A2" s="13" t="str">
        <x:v>Formula and tangible-book consistency checks</x:v>
      </x:c>
      <x:c r="B2" s="13"/>
      <x:c r="C2" s="13"/>
      <x:c r="D2" s="13"/>
      <x:c r="E2" s="254"/>
      <x:c r="F2" s="254"/>
      <x:c r="G2" s="254"/>
      <x:c r="H2" s="254"/>
      <x:c r="I2" s="254"/>
      <x:c r="J2" s="254"/>
      <x:c r="K2" s="254"/>
    </x:row>
    <x:row r="3" ht="32" customHeight="1">
      <x:c r="A3" s="34" t="str">
        <x:v>Check</x:v>
      </x:c>
      <x:c r="B3" s="34" t="str">
        <x:v>Status</x:v>
      </x:c>
      <x:c r="C3" s="34" t="str">
        <x:v>Rule</x:v>
      </x:c>
      <x:c r="D3" s="34" t="str">
        <x:v>Formula / Note</x:v>
      </x:c>
      <x:c r="E3" s="254"/>
      <x:c r="F3" s="254"/>
      <x:c r="G3" s="254"/>
      <x:c r="H3" s="254"/>
      <x:c r="I3" s="254"/>
      <x:c r="J3" s="254"/>
      <x:c r="K3" s="254"/>
    </x:row>
    <x:row r="4">
      <x:c r="A4" s="274" t="str">
        <x:v>Tangibility bridge — Axis Bank</x:v>
      </x:c>
      <x:c r="B4" s="197" t="str">
        <x:f>IF(ABS('Valuation &amp; Tangible'!B11-'Raw Data'!$B$14)&lt;0.01,"PASS","CHECK")</x:f>
        <x:v>PASS</x:v>
      </x:c>
      <x:c r="C4" s="256" t="str">
        <x:v>TCE = Common Equity − Goodwill − Other Intangible Assets</x:v>
      </x:c>
      <x:c r="D4" s="256" t="str"/>
      <x:c r="E4" s="254"/>
      <x:c r="F4" s="254"/>
      <x:c r="G4" s="254"/>
      <x:c r="H4" s="254"/>
      <x:c r="I4" s="254"/>
      <x:c r="J4" s="254"/>
      <x:c r="K4" s="254"/>
    </x:row>
    <x:row r="5">
      <x:c r="A5" s="274" t="str">
        <x:v>Tangibility bridge — HDFC Bank</x:v>
      </x:c>
      <x:c r="B5" s="197" t="str">
        <x:f>IF(ABS('Valuation &amp; Tangible'!C11-'Raw Data'!$B$40)&lt;0.01,"PASS","CHECK")</x:f>
        <x:v>PASS</x:v>
      </x:c>
      <x:c r="C5" s="256" t="str">
        <x:v>TCE = Common Equity − Goodwill − Other Intangible Assets</x:v>
      </x:c>
      <x:c r="D5" s="256" t="str"/>
      <x:c r="E5" s="254"/>
      <x:c r="F5" s="254"/>
      <x:c r="G5" s="254"/>
      <x:c r="H5" s="254"/>
      <x:c r="I5" s="254"/>
      <x:c r="J5" s="254"/>
      <x:c r="K5" s="254"/>
    </x:row>
    <x:row r="6">
      <x:c r="A6" s="274" t="str">
        <x:v>Tangibility bridge — ICICI Bank</x:v>
      </x:c>
      <x:c r="B6" s="197" t="str">
        <x:f>IF(ABS('Valuation &amp; Tangible'!D11-'Raw Data'!$B$66)&lt;0.01,"PASS","CHECK")</x:f>
        <x:v>PASS</x:v>
      </x:c>
      <x:c r="C6" s="256" t="str">
        <x:v>TCE = Common Equity − Goodwill − Other Intangible Assets</x:v>
      </x:c>
      <x:c r="D6" s="256" t="str"/>
      <x:c r="E6" s="254"/>
      <x:c r="F6" s="254"/>
      <x:c r="G6" s="254"/>
      <x:c r="H6" s="254"/>
      <x:c r="I6" s="254"/>
      <x:c r="J6" s="254"/>
      <x:c r="K6" s="254"/>
    </x:row>
    <x:row r="7">
      <x:c r="A7" s="274" t="str">
        <x:v>Tangibility bridge — Kotak Mahindra Bank</x:v>
      </x:c>
      <x:c r="B7" s="197" t="str">
        <x:f>IF(ABS('Valuation &amp; Tangible'!E11-'Raw Data'!$B$92)&lt;0.01,"PASS","CHECK")</x:f>
        <x:v>PASS</x:v>
      </x:c>
      <x:c r="C7" s="256" t="str">
        <x:v>TCE = Common Equity − Goodwill − Other Intangible Assets</x:v>
      </x:c>
      <x:c r="D7" s="256" t="str"/>
      <x:c r="E7" s="254"/>
      <x:c r="F7" s="254"/>
      <x:c r="G7" s="254"/>
      <x:c r="H7" s="254"/>
      <x:c r="I7" s="254"/>
      <x:c r="J7" s="254"/>
      <x:c r="K7" s="254"/>
    </x:row>
    <x:row r="8">
      <x:c r="A8" s="274" t="str">
        <x:v>Tangibility bridge — Federal Bank</x:v>
      </x:c>
      <x:c r="B8" s="197" t="str">
        <x:f>IF(ABS('Valuation &amp; Tangible'!F11-'Raw Data'!$B$118)&lt;0.01,"PASS","CHECK")</x:f>
        <x:v>PASS</x:v>
      </x:c>
      <x:c r="C8" s="256" t="str">
        <x:v>TCE = Common Equity − Goodwill − Other Intangible Assets</x:v>
      </x:c>
      <x:c r="D8" s="256" t="str"/>
      <x:c r="E8" s="254"/>
      <x:c r="F8" s="254"/>
      <x:c r="G8" s="254"/>
      <x:c r="H8" s="254"/>
      <x:c r="I8" s="254"/>
      <x:c r="J8" s="254"/>
      <x:c r="K8" s="254"/>
    </x:row>
    <x:row r="9">
      <x:c r="A9" s="274" t="str">
        <x:v>BVPS formula</x:v>
      </x:c>
      <x:c r="B9" s="197" t="str">
        <x:f>IF(COUNTA('Valuation &amp; Tangible'!B13:F13)=5,"PASS","CHECK")</x:f>
        <x:v>PASS</x:v>
      </x:c>
      <x:c r="C9" s="256" t="str">
        <x:v>Common Equity ÷ Shares Outstanding</x:v>
      </x:c>
      <x:c r="D9" s="256" t="str"/>
      <x:c r="E9" s="254"/>
      <x:c r="F9" s="254"/>
      <x:c r="G9" s="254"/>
      <x:c r="H9" s="254"/>
      <x:c r="I9" s="254"/>
      <x:c r="J9" s="254"/>
      <x:c r="K9" s="254"/>
    </x:row>
    <x:row r="10">
      <x:c r="A10" s="274" t="str">
        <x:v>TBVPS formula</x:v>
      </x:c>
      <x:c r="B10" s="197" t="str">
        <x:f>IF(COUNTA('Valuation &amp; Tangible'!B14:F14)=5,"PASS","CHECK")</x:f>
        <x:v>PASS</x:v>
      </x:c>
      <x:c r="C10" s="256" t="str">
        <x:v>Tangible Common Equity ÷ Shares Outstanding</x:v>
      </x:c>
      <x:c r="D10" s="256" t="str"/>
      <x:c r="E10" s="254"/>
      <x:c r="F10" s="254"/>
      <x:c r="G10" s="254"/>
      <x:c r="H10" s="254"/>
      <x:c r="I10" s="254"/>
      <x:c r="J10" s="254"/>
      <x:c r="K10" s="254"/>
    </x:row>
    <x:row r="11">
      <x:c r="A11" s="274" t="str">
        <x:v>P/B formula</x:v>
      </x:c>
      <x:c r="B11" s="197" t="str">
        <x:f>IF(COUNTA('Valuation &amp; Tangible'!B17:F17)=5,"PASS","CHECK")</x:f>
        <x:v>PASS</x:v>
      </x:c>
      <x:c r="C11" s="256" t="str">
        <x:v>Share Price ÷ BVPS</x:v>
      </x:c>
      <x:c r="D11" s="256" t="str"/>
      <x:c r="E11" s="254"/>
      <x:c r="F11" s="254"/>
      <x:c r="G11" s="254"/>
      <x:c r="H11" s="254"/>
      <x:c r="I11" s="254"/>
      <x:c r="J11" s="254"/>
      <x:c r="K11" s="254"/>
    </x:row>
    <x:row r="12">
      <x:c r="A12" s="274" t="str">
        <x:v>P/TBV formula</x:v>
      </x:c>
      <x:c r="B12" s="197" t="str">
        <x:f>IF(COUNTA('Valuation &amp; Tangible'!B18:F18)=5,"PASS","CHECK")</x:f>
        <x:v>PASS</x:v>
      </x:c>
      <x:c r="C12" s="256" t="str">
        <x:v>Share Price ÷ TBVPS</x:v>
      </x:c>
      <x:c r="D12" s="256" t="str"/>
      <x:c r="E12" s="254"/>
      <x:c r="F12" s="254"/>
      <x:c r="G12" s="254"/>
      <x:c r="H12" s="254"/>
      <x:c r="I12" s="254"/>
      <x:c r="J12" s="254"/>
      <x:c r="K12" s="254"/>
    </x:row>
    <x:row r="13">
      <x:c r="A13" s="274" t="str">
        <x:v>Relative valuation</x:v>
      </x:c>
      <x:c r="B13" s="197" t="str">
        <x:f>IF(COUNTA('Relative Valuation'!E5:E9)=5,"PASS","CHECK")</x:f>
        <x:v>PASS</x:v>
      </x:c>
      <x:c r="C13" s="256" t="str">
        <x:v>Peer median excluding target → implied price</x:v>
      </x:c>
      <x:c r="D13" s="256" t="str"/>
      <x:c r="E13" s="254"/>
      <x:c r="F13" s="254"/>
      <x:c r="G13" s="254"/>
      <x:c r="H13" s="254"/>
      <x:c r="I13" s="254"/>
      <x:c r="J13" s="254"/>
      <x:c r="K13" s="254"/>
    </x:row>
    <x:row r="14">
      <x:c r="A14" s="274" t="str">
        <x:v>Secondary P/E</x:v>
      </x:c>
      <x:c r="B14" s="197" t="str">
        <x:f>IF(COUNTA('Secondary'!F5:F9)=5,"PASS","CHECK")</x:f>
        <x:v>PASS</x:v>
      </x:c>
      <x:c r="C14" s="256" t="str">
        <x:v>Peer median excluding target → implied price</x:v>
      </x:c>
      <x:c r="D14" s="256" t="str"/>
      <x:c r="E14" s="254"/>
      <x:c r="F14" s="254"/>
      <x:c r="G14" s="254"/>
      <x:c r="H14" s="254"/>
      <x:c r="I14" s="254"/>
      <x:c r="J14" s="254"/>
      <x:c r="K14" s="254"/>
    </x:row>
    <x:row r="15">
      <x:c r="A15" s="254"/>
      <x:c r="B15" s="254"/>
      <x:c r="C15" s="254"/>
      <x:c r="D15" s="254"/>
      <x:c r="E15" s="254"/>
      <x:c r="F15" s="254"/>
      <x:c r="G15" s="254"/>
      <x:c r="H15" s="254"/>
      <x:c r="I15" s="254"/>
      <x:c r="J15" s="254"/>
      <x:c r="K15" s="254"/>
    </x:row>
    <x:row r="16">
      <x:c r="A16" s="254"/>
      <x:c r="B16" s="254"/>
      <x:c r="C16" s="254"/>
      <x:c r="D16" s="254"/>
      <x:c r="E16" s="254"/>
      <x:c r="F16" s="254"/>
      <x:c r="G16" s="254"/>
      <x:c r="H16" s="254"/>
      <x:c r="I16" s="254"/>
      <x:c r="J16" s="254"/>
      <x:c r="K16" s="254"/>
    </x:row>
    <x:row r="17">
      <x:c r="A17" s="254"/>
      <x:c r="B17" s="254"/>
      <x:c r="C17" s="254"/>
      <x:c r="D17" s="254"/>
      <x:c r="E17" s="254"/>
      <x:c r="F17" s="254"/>
      <x:c r="G17" s="254"/>
      <x:c r="H17" s="254"/>
      <x:c r="I17" s="254"/>
      <x:c r="J17" s="254"/>
      <x:c r="K17" s="254"/>
    </x:row>
    <x:row r="18">
      <x:c r="A18" s="254"/>
      <x:c r="B18" s="254"/>
      <x:c r="C18" s="254"/>
      <x:c r="D18" s="254"/>
      <x:c r="E18" s="254"/>
      <x:c r="F18" s="254"/>
      <x:c r="G18" s="254"/>
      <x:c r="H18" s="254"/>
      <x:c r="I18" s="254"/>
      <x:c r="J18" s="254"/>
      <x:c r="K18" s="254"/>
    </x:row>
    <x:row r="19">
      <x:c r="A19" s="254"/>
      <x:c r="B19" s="254"/>
      <x:c r="C19" s="254"/>
      <x:c r="D19" s="254"/>
      <x:c r="E19" s="254"/>
      <x:c r="F19" s="254"/>
      <x:c r="G19" s="254"/>
      <x:c r="H19" s="254"/>
      <x:c r="I19" s="254"/>
      <x:c r="J19" s="254"/>
      <x:c r="K19" s="254"/>
    </x:row>
    <x:row r="20">
      <x:c r="A20" s="254"/>
      <x:c r="B20" s="254"/>
      <x:c r="C20" s="254"/>
      <x:c r="D20" s="254"/>
      <x:c r="E20" s="254"/>
      <x:c r="F20" s="254"/>
      <x:c r="G20" s="254"/>
      <x:c r="H20" s="254"/>
      <x:c r="I20" s="254"/>
      <x:c r="J20" s="254"/>
      <x:c r="K20" s="254"/>
    </x:row>
    <x:row r="21">
      <x:c r="A21" s="254"/>
      <x:c r="B21" s="254"/>
      <x:c r="C21" s="254"/>
      <x:c r="D21" s="254"/>
      <x:c r="E21" s="254"/>
      <x:c r="F21" s="254"/>
      <x:c r="G21" s="254"/>
      <x:c r="H21" s="254"/>
      <x:c r="I21" s="254"/>
      <x:c r="J21" s="254"/>
      <x:c r="K21" s="254"/>
    </x:row>
    <x:row r="22">
      <x:c r="A22" s="254"/>
      <x:c r="B22" s="254"/>
      <x:c r="C22" s="254"/>
      <x:c r="D22" s="254"/>
      <x:c r="E22" s="254"/>
      <x:c r="F22" s="254"/>
      <x:c r="G22" s="254"/>
      <x:c r="H22" s="254"/>
      <x:c r="I22" s="254"/>
      <x:c r="J22" s="254"/>
      <x:c r="K22" s="254"/>
    </x:row>
    <x:row r="23">
      <x:c r="A23" s="254"/>
      <x:c r="B23" s="254"/>
      <x:c r="C23" s="254"/>
      <x:c r="D23" s="254"/>
      <x:c r="E23" s="254"/>
      <x:c r="F23" s="254"/>
      <x:c r="G23" s="254"/>
      <x:c r="H23" s="254"/>
      <x:c r="I23" s="254"/>
      <x:c r="J23" s="254"/>
      <x:c r="K23" s="254"/>
    </x:row>
    <x:row r="24">
      <x:c r="A24" s="254"/>
      <x:c r="B24" s="254"/>
      <x:c r="C24" s="254"/>
      <x:c r="D24" s="254"/>
      <x:c r="E24" s="254"/>
      <x:c r="F24" s="254"/>
      <x:c r="G24" s="254"/>
      <x:c r="H24" s="254"/>
      <x:c r="I24" s="254"/>
      <x:c r="J24" s="254"/>
      <x:c r="K24" s="254"/>
    </x:row>
    <x:row r="25">
      <x:c r="A25" s="254"/>
      <x:c r="B25" s="254"/>
      <x:c r="C25" s="254"/>
      <x:c r="D25" s="254"/>
      <x:c r="E25" s="254"/>
      <x:c r="F25" s="254"/>
      <x:c r="G25" s="254"/>
      <x:c r="H25" s="254"/>
      <x:c r="I25" s="254"/>
      <x:c r="J25" s="254"/>
      <x:c r="K25" s="254"/>
    </x:row>
    <x:row r="26">
      <x:c r="A26" s="254"/>
      <x:c r="B26" s="254"/>
      <x:c r="C26" s="254"/>
      <x:c r="D26" s="254"/>
      <x:c r="E26" s="254"/>
      <x:c r="F26" s="254"/>
      <x:c r="G26" s="254"/>
      <x:c r="H26" s="254"/>
      <x:c r="I26" s="254"/>
      <x:c r="J26" s="254"/>
      <x:c r="K26" s="254"/>
    </x:row>
    <x:row r="27">
      <x:c r="A27" s="254"/>
      <x:c r="B27" s="254"/>
      <x:c r="C27" s="254"/>
      <x:c r="D27" s="254"/>
      <x:c r="E27" s="254"/>
      <x:c r="F27" s="254"/>
      <x:c r="G27" s="254"/>
      <x:c r="H27" s="254"/>
      <x:c r="I27" s="254"/>
      <x:c r="J27" s="254"/>
      <x:c r="K27" s="254"/>
    </x:row>
    <x:row r="28">
      <x:c r="A28" s="254"/>
      <x:c r="B28" s="254"/>
      <x:c r="C28" s="254"/>
      <x:c r="D28" s="254"/>
      <x:c r="E28" s="254"/>
      <x:c r="F28" s="254"/>
      <x:c r="G28" s="254"/>
      <x:c r="H28" s="254"/>
      <x:c r="I28" s="254"/>
      <x:c r="J28" s="254"/>
      <x:c r="K28" s="254"/>
    </x:row>
    <x:row r="29">
      <x:c r="A29" s="254"/>
      <x:c r="B29" s="254"/>
      <x:c r="C29" s="254"/>
      <x:c r="D29" s="254"/>
      <x:c r="E29" s="254"/>
      <x:c r="F29" s="254"/>
      <x:c r="G29" s="254"/>
      <x:c r="H29" s="254"/>
      <x:c r="I29" s="254"/>
      <x:c r="J29" s="254"/>
      <x:c r="K29" s="254"/>
    </x:row>
    <x:row r="30">
      <x:c r="A30" s="254"/>
      <x:c r="B30" s="254"/>
      <x:c r="C30" s="254"/>
      <x:c r="D30" s="254"/>
      <x:c r="E30" s="254"/>
      <x:c r="F30" s="254"/>
      <x:c r="G30" s="254"/>
      <x:c r="H30" s="254"/>
      <x:c r="I30" s="254"/>
      <x:c r="J30" s="254"/>
      <x:c r="K30" s="254"/>
    </x:row>
    <x:row r="31">
      <x:c r="A31" s="254"/>
      <x:c r="B31" s="254"/>
      <x:c r="C31" s="254"/>
      <x:c r="D31" s="254"/>
      <x:c r="E31" s="254"/>
      <x:c r="F31" s="254"/>
      <x:c r="G31" s="254"/>
      <x:c r="H31" s="254"/>
      <x:c r="I31" s="254"/>
      <x:c r="J31" s="254"/>
      <x:c r="K31" s="254"/>
    </x:row>
    <x:row r="32">
      <x:c r="A32" s="254"/>
      <x:c r="B32" s="254"/>
      <x:c r="C32" s="254"/>
      <x:c r="D32" s="254"/>
      <x:c r="E32" s="254"/>
      <x:c r="F32" s="254"/>
      <x:c r="G32" s="254"/>
      <x:c r="H32" s="254"/>
      <x:c r="I32" s="254"/>
      <x:c r="J32" s="254"/>
      <x:c r="K32" s="254"/>
    </x:row>
    <x:row r="33">
      <x:c r="A33" s="254"/>
      <x:c r="B33" s="254"/>
      <x:c r="C33" s="254"/>
      <x:c r="D33" s="254"/>
      <x:c r="E33" s="254"/>
      <x:c r="F33" s="254"/>
      <x:c r="G33" s="254"/>
      <x:c r="H33" s="254"/>
      <x:c r="I33" s="254"/>
      <x:c r="J33" s="254"/>
      <x:c r="K33" s="254"/>
    </x:row>
    <x:row r="34">
      <x:c r="A34" s="254"/>
      <x:c r="B34" s="254"/>
      <x:c r="C34" s="254"/>
      <x:c r="D34" s="254"/>
      <x:c r="E34" s="254"/>
      <x:c r="F34" s="254"/>
      <x:c r="G34" s="254"/>
      <x:c r="H34" s="254"/>
      <x:c r="I34" s="254"/>
      <x:c r="J34" s="254"/>
      <x:c r="K34" s="254"/>
    </x:row>
    <x:row r="35">
      <x:c r="A35" s="254"/>
      <x:c r="B35" s="254"/>
      <x:c r="C35" s="254"/>
      <x:c r="D35" s="254"/>
      <x:c r="E35" s="254"/>
      <x:c r="F35" s="254"/>
      <x:c r="G35" s="254"/>
      <x:c r="H35" s="254"/>
      <x:c r="I35" s="254"/>
      <x:c r="J35" s="254"/>
      <x:c r="K35" s="254"/>
    </x:row>
    <x:row r="36">
      <x:c r="A36" s="254"/>
      <x:c r="B36" s="254"/>
      <x:c r="C36" s="254"/>
      <x:c r="D36" s="254"/>
      <x:c r="E36" s="254"/>
      <x:c r="F36" s="254"/>
      <x:c r="G36" s="254"/>
      <x:c r="H36" s="254"/>
      <x:c r="I36" s="254"/>
      <x:c r="J36" s="254"/>
      <x:c r="K36" s="254"/>
    </x:row>
    <x:row r="37">
      <x:c r="A37" s="254"/>
      <x:c r="B37" s="254"/>
      <x:c r="C37" s="254"/>
      <x:c r="D37" s="254"/>
      <x:c r="E37" s="254"/>
      <x:c r="F37" s="254"/>
      <x:c r="G37" s="254"/>
      <x:c r="H37" s="254"/>
      <x:c r="I37" s="254"/>
      <x:c r="J37" s="254"/>
      <x:c r="K37" s="254"/>
    </x:row>
    <x:row r="38">
      <x:c r="A38" s="254"/>
      <x:c r="B38" s="254"/>
      <x:c r="C38" s="254"/>
      <x:c r="D38" s="254"/>
      <x:c r="E38" s="254"/>
      <x:c r="F38" s="254"/>
      <x:c r="G38" s="254"/>
      <x:c r="H38" s="254"/>
      <x:c r="I38" s="254"/>
      <x:c r="J38" s="254"/>
      <x:c r="K38" s="254"/>
    </x:row>
    <x:row r="39">
      <x:c r="A39" s="254"/>
      <x:c r="B39" s="254"/>
      <x:c r="C39" s="254"/>
      <x:c r="D39" s="254"/>
      <x:c r="E39" s="254"/>
      <x:c r="F39" s="254"/>
      <x:c r="G39" s="254"/>
      <x:c r="H39" s="254"/>
      <x:c r="I39" s="254"/>
      <x:c r="J39" s="254"/>
      <x:c r="K39" s="254"/>
    </x:row>
    <x:row r="40">
      <x:c r="A40" s="254"/>
      <x:c r="B40" s="254"/>
      <x:c r="C40" s="254"/>
      <x:c r="D40" s="254"/>
      <x:c r="E40" s="254"/>
      <x:c r="F40" s="254"/>
      <x:c r="G40" s="254"/>
      <x:c r="H40" s="254"/>
      <x:c r="I40" s="254"/>
      <x:c r="J40" s="254"/>
      <x:c r="K40" s="254"/>
    </x:row>
    <x:row r="41">
      <x:c r="A41" s="254"/>
      <x:c r="B41" s="254"/>
      <x:c r="C41" s="254"/>
      <x:c r="D41" s="254"/>
      <x:c r="E41" s="254"/>
      <x:c r="F41" s="254"/>
      <x:c r="G41" s="254"/>
      <x:c r="H41" s="254"/>
      <x:c r="I41" s="254"/>
      <x:c r="J41" s="254"/>
      <x:c r="K41" s="254"/>
    </x:row>
    <x:row r="42">
      <x:c r="A42" s="254"/>
      <x:c r="B42" s="254"/>
      <x:c r="C42" s="254"/>
      <x:c r="D42" s="254"/>
      <x:c r="E42" s="254"/>
      <x:c r="F42" s="254"/>
      <x:c r="G42" s="254"/>
      <x:c r="H42" s="254"/>
      <x:c r="I42" s="254"/>
      <x:c r="J42" s="254"/>
      <x:c r="K42" s="254"/>
    </x:row>
    <x:row r="43">
      <x:c r="A43" s="254"/>
      <x:c r="B43" s="254"/>
      <x:c r="C43" s="254"/>
      <x:c r="D43" s="254"/>
      <x:c r="E43" s="254"/>
      <x:c r="F43" s="254"/>
      <x:c r="G43" s="254"/>
      <x:c r="H43" s="254"/>
      <x:c r="I43" s="254"/>
      <x:c r="J43" s="254"/>
      <x:c r="K43" s="254"/>
    </x:row>
    <x:row r="44">
      <x:c r="A44" s="254"/>
      <x:c r="B44" s="254"/>
      <x:c r="C44" s="254"/>
      <x:c r="D44" s="254"/>
      <x:c r="E44" s="254"/>
      <x:c r="F44" s="254"/>
      <x:c r="G44" s="254"/>
      <x:c r="H44" s="254"/>
      <x:c r="I44" s="254"/>
      <x:c r="J44" s="254"/>
      <x:c r="K44" s="254"/>
    </x:row>
    <x:row r="45">
      <x:c r="A45" s="254"/>
      <x:c r="B45" s="254"/>
      <x:c r="C45" s="254"/>
      <x:c r="D45" s="254"/>
      <x:c r="E45" s="254"/>
      <x:c r="F45" s="254"/>
      <x:c r="G45" s="254"/>
      <x:c r="H45" s="254"/>
      <x:c r="I45" s="254"/>
      <x:c r="J45" s="254"/>
      <x:c r="K45" s="254"/>
    </x:row>
    <x:row r="46">
      <x:c r="A46" s="254"/>
      <x:c r="B46" s="254"/>
      <x:c r="C46" s="254"/>
      <x:c r="D46" s="254"/>
      <x:c r="E46" s="254"/>
      <x:c r="F46" s="254"/>
      <x:c r="G46" s="254"/>
      <x:c r="H46" s="254"/>
      <x:c r="I46" s="254"/>
      <x:c r="J46" s="254"/>
      <x:c r="K46" s="254"/>
    </x:row>
    <x:row r="47">
      <x:c r="A47" s="254"/>
      <x:c r="B47" s="254"/>
      <x:c r="C47" s="254"/>
      <x:c r="D47" s="254"/>
      <x:c r="E47" s="254"/>
      <x:c r="F47" s="254"/>
      <x:c r="G47" s="254"/>
      <x:c r="H47" s="254"/>
      <x:c r="I47" s="254"/>
      <x:c r="J47" s="254"/>
      <x:c r="K47" s="254"/>
    </x:row>
    <x:row r="48">
      <x:c r="A48" s="254"/>
      <x:c r="B48" s="254"/>
      <x:c r="C48" s="254"/>
      <x:c r="D48" s="254"/>
      <x:c r="E48" s="254"/>
      <x:c r="F48" s="254"/>
      <x:c r="G48" s="254"/>
      <x:c r="H48" s="254"/>
      <x:c r="I48" s="254"/>
      <x:c r="J48" s="254"/>
      <x:c r="K48" s="254"/>
    </x:row>
    <x:row r="49">
      <x:c r="A49" s="254"/>
      <x:c r="B49" s="254"/>
      <x:c r="C49" s="254"/>
      <x:c r="D49" s="254"/>
      <x:c r="E49" s="254"/>
      <x:c r="F49" s="254"/>
      <x:c r="G49" s="254"/>
      <x:c r="H49" s="254"/>
      <x:c r="I49" s="254"/>
      <x:c r="J49" s="254"/>
      <x:c r="K49" s="254"/>
    </x:row>
    <x:row r="50">
      <x:c r="A50" s="254"/>
      <x:c r="B50" s="254"/>
      <x:c r="C50" s="254"/>
      <x:c r="D50" s="254"/>
      <x:c r="E50" s="254"/>
      <x:c r="F50" s="254"/>
      <x:c r="G50" s="254"/>
      <x:c r="H50" s="254"/>
      <x:c r="I50" s="254"/>
      <x:c r="J50" s="254"/>
      <x:c r="K50" s="254"/>
    </x:row>
    <x:row r="51">
      <x:c r="A51" s="254"/>
      <x:c r="B51" s="254"/>
      <x:c r="C51" s="254"/>
      <x:c r="D51" s="254"/>
      <x:c r="E51" s="254"/>
      <x:c r="F51" s="254"/>
      <x:c r="G51" s="254"/>
      <x:c r="H51" s="254"/>
      <x:c r="I51" s="254"/>
      <x:c r="J51" s="254"/>
      <x:c r="K51" s="254"/>
    </x:row>
    <x:row r="52">
      <x:c r="A52" s="254"/>
      <x:c r="B52" s="254"/>
      <x:c r="C52" s="254"/>
      <x:c r="D52" s="254"/>
      <x:c r="E52" s="254"/>
      <x:c r="F52" s="254"/>
      <x:c r="G52" s="254"/>
      <x:c r="H52" s="254"/>
      <x:c r="I52" s="254"/>
      <x:c r="J52" s="254"/>
      <x:c r="K52" s="254"/>
    </x:row>
    <x:row r="53">
      <x:c r="A53" s="254"/>
      <x:c r="B53" s="254"/>
      <x:c r="C53" s="254"/>
      <x:c r="D53" s="254"/>
      <x:c r="E53" s="254"/>
      <x:c r="F53" s="254"/>
      <x:c r="G53" s="254"/>
      <x:c r="H53" s="254"/>
      <x:c r="I53" s="254"/>
      <x:c r="J53" s="254"/>
      <x:c r="K53" s="254"/>
    </x:row>
    <x:row r="54">
      <x:c r="A54" s="254"/>
      <x:c r="B54" s="254"/>
      <x:c r="C54" s="254"/>
      <x:c r="D54" s="254"/>
      <x:c r="E54" s="254"/>
      <x:c r="F54" s="254"/>
      <x:c r="G54" s="254"/>
      <x:c r="H54" s="254"/>
      <x:c r="I54" s="254"/>
      <x:c r="J54" s="254"/>
      <x:c r="K54" s="254"/>
    </x:row>
    <x:row r="55">
      <x:c r="A55" s="254"/>
      <x:c r="B55" s="254"/>
      <x:c r="C55" s="254"/>
      <x:c r="D55" s="254"/>
      <x:c r="E55" s="254"/>
      <x:c r="F55" s="254"/>
      <x:c r="G55" s="254"/>
      <x:c r="H55" s="254"/>
      <x:c r="I55" s="254"/>
      <x:c r="J55" s="254"/>
      <x:c r="K55" s="254"/>
    </x:row>
    <x:row r="56">
      <x:c r="A56" s="254"/>
      <x:c r="B56" s="254"/>
      <x:c r="C56" s="254"/>
      <x:c r="D56" s="254"/>
      <x:c r="E56" s="254"/>
      <x:c r="F56" s="254"/>
      <x:c r="G56" s="254"/>
      <x:c r="H56" s="254"/>
      <x:c r="I56" s="254"/>
      <x:c r="J56" s="254"/>
      <x:c r="K56" s="254"/>
    </x:row>
    <x:row r="57">
      <x:c r="A57" s="254"/>
      <x:c r="B57" s="254"/>
      <x:c r="C57" s="254"/>
      <x:c r="D57" s="254"/>
      <x:c r="E57" s="254"/>
      <x:c r="F57" s="254"/>
      <x:c r="G57" s="254"/>
      <x:c r="H57" s="254"/>
      <x:c r="I57" s="254"/>
      <x:c r="J57" s="254"/>
      <x:c r="K57" s="254"/>
    </x:row>
    <x:row r="58">
      <x:c r="A58" s="254"/>
      <x:c r="B58" s="254"/>
      <x:c r="C58" s="254"/>
      <x:c r="D58" s="254"/>
      <x:c r="E58" s="254"/>
      <x:c r="F58" s="254"/>
      <x:c r="G58" s="254"/>
      <x:c r="H58" s="254"/>
      <x:c r="I58" s="254"/>
      <x:c r="J58" s="254"/>
      <x:c r="K58" s="254"/>
    </x:row>
    <x:row r="59">
      <x:c r="A59" s="254"/>
      <x:c r="B59" s="254"/>
      <x:c r="C59" s="254"/>
      <x:c r="D59" s="254"/>
      <x:c r="E59" s="254"/>
      <x:c r="F59" s="254"/>
      <x:c r="G59" s="254"/>
      <x:c r="H59" s="254"/>
      <x:c r="I59" s="254"/>
      <x:c r="J59" s="254"/>
      <x:c r="K59" s="254"/>
    </x:row>
    <x:row r="60">
      <x:c r="A60" s="254"/>
      <x:c r="B60" s="254"/>
      <x:c r="C60" s="254"/>
      <x:c r="D60" s="254"/>
      <x:c r="E60" s="254"/>
      <x:c r="F60" s="254"/>
      <x:c r="G60" s="254"/>
      <x:c r="H60" s="254"/>
      <x:c r="I60" s="254"/>
      <x:c r="J60" s="254"/>
      <x:c r="K60" s="254"/>
    </x:row>
    <x:row r="61">
      <x:c r="A61" s="254"/>
      <x:c r="B61" s="254"/>
      <x:c r="C61" s="254"/>
      <x:c r="D61" s="254"/>
      <x:c r="E61" s="254"/>
      <x:c r="F61" s="254"/>
      <x:c r="G61" s="254"/>
      <x:c r="H61" s="254"/>
      <x:c r="I61" s="254"/>
      <x:c r="J61" s="254"/>
      <x:c r="K61" s="254"/>
    </x:row>
    <x:row r="62">
      <x:c r="A62" s="254"/>
      <x:c r="B62" s="254"/>
      <x:c r="C62" s="254"/>
      <x:c r="D62" s="254"/>
      <x:c r="E62" s="254"/>
      <x:c r="F62" s="254"/>
      <x:c r="G62" s="254"/>
      <x:c r="H62" s="254"/>
      <x:c r="I62" s="254"/>
      <x:c r="J62" s="254"/>
      <x:c r="K62" s="254"/>
    </x:row>
    <x:row r="63">
      <x:c r="A63" s="254"/>
      <x:c r="B63" s="254"/>
      <x:c r="C63" s="254"/>
      <x:c r="D63" s="254"/>
      <x:c r="E63" s="254"/>
      <x:c r="F63" s="254"/>
      <x:c r="G63" s="254"/>
      <x:c r="H63" s="254"/>
      <x:c r="I63" s="254"/>
      <x:c r="J63" s="254"/>
      <x:c r="K63" s="254"/>
    </x:row>
    <x:row r="64">
      <x:c r="A64" s="254"/>
      <x:c r="B64" s="254"/>
      <x:c r="C64" s="254"/>
      <x:c r="D64" s="254"/>
      <x:c r="E64" s="254"/>
      <x:c r="F64" s="254"/>
      <x:c r="G64" s="254"/>
      <x:c r="H64" s="254"/>
      <x:c r="I64" s="254"/>
      <x:c r="J64" s="254"/>
      <x:c r="K64" s="254"/>
    </x:row>
    <x:row r="65">
      <x:c r="A65" s="254"/>
      <x:c r="B65" s="254"/>
      <x:c r="C65" s="254"/>
      <x:c r="D65" s="254"/>
      <x:c r="E65" s="254"/>
      <x:c r="F65" s="254"/>
      <x:c r="G65" s="254"/>
      <x:c r="H65" s="254"/>
      <x:c r="I65" s="254"/>
      <x:c r="J65" s="254"/>
      <x:c r="K65" s="254"/>
    </x:row>
    <x:row r="66">
      <x:c r="A66" s="254"/>
      <x:c r="B66" s="254"/>
      <x:c r="C66" s="254"/>
      <x:c r="D66" s="254"/>
      <x:c r="E66" s="254"/>
      <x:c r="F66" s="254"/>
      <x:c r="G66" s="254"/>
      <x:c r="H66" s="254"/>
      <x:c r="I66" s="254"/>
      <x:c r="J66" s="254"/>
      <x:c r="K66" s="254"/>
    </x:row>
    <x:row r="67">
      <x:c r="A67" s="254"/>
      <x:c r="B67" s="254"/>
      <x:c r="C67" s="254"/>
      <x:c r="D67" s="254"/>
      <x:c r="E67" s="254"/>
      <x:c r="F67" s="254"/>
      <x:c r="G67" s="254"/>
      <x:c r="H67" s="254"/>
      <x:c r="I67" s="254"/>
      <x:c r="J67" s="254"/>
      <x:c r="K67" s="254"/>
    </x:row>
    <x:row r="68">
      <x:c r="A68" s="254"/>
      <x:c r="B68" s="254"/>
      <x:c r="C68" s="254"/>
      <x:c r="D68" s="254"/>
      <x:c r="E68" s="254"/>
      <x:c r="F68" s="254"/>
      <x:c r="G68" s="254"/>
      <x:c r="H68" s="254"/>
      <x:c r="I68" s="254"/>
      <x:c r="J68" s="254"/>
      <x:c r="K68" s="254"/>
    </x:row>
    <x:row r="69">
      <x:c r="A69" s="254"/>
      <x:c r="B69" s="254"/>
      <x:c r="C69" s="254"/>
      <x:c r="D69" s="254"/>
      <x:c r="E69" s="254"/>
      <x:c r="F69" s="254"/>
      <x:c r="G69" s="254"/>
      <x:c r="H69" s="254"/>
      <x:c r="I69" s="254"/>
      <x:c r="J69" s="254"/>
      <x:c r="K69" s="254"/>
    </x:row>
    <x:row r="70">
      <x:c r="A70" s="254"/>
      <x:c r="B70" s="254"/>
      <x:c r="C70" s="254"/>
      <x:c r="D70" s="254"/>
      <x:c r="E70" s="254"/>
      <x:c r="F70" s="254"/>
      <x:c r="G70" s="254"/>
      <x:c r="H70" s="254"/>
      <x:c r="I70" s="254"/>
      <x:c r="J70" s="254"/>
      <x:c r="K70" s="254"/>
    </x:row>
    <x:row r="71">
      <x:c r="A71" s="254"/>
      <x:c r="B71" s="254"/>
      <x:c r="C71" s="254"/>
      <x:c r="D71" s="254"/>
      <x:c r="E71" s="254"/>
      <x:c r="F71" s="254"/>
      <x:c r="G71" s="254"/>
      <x:c r="H71" s="254"/>
      <x:c r="I71" s="254"/>
      <x:c r="J71" s="254"/>
      <x:c r="K71" s="254"/>
    </x:row>
    <x:row r="72">
      <x:c r="A72" s="254"/>
      <x:c r="B72" s="254"/>
      <x:c r="C72" s="254"/>
      <x:c r="D72" s="254"/>
      <x:c r="E72" s="254"/>
      <x:c r="F72" s="254"/>
      <x:c r="G72" s="254"/>
      <x:c r="H72" s="254"/>
      <x:c r="I72" s="254"/>
      <x:c r="J72" s="254"/>
      <x:c r="K72" s="254"/>
    </x:row>
    <x:row r="73">
      <x:c r="A73" s="254"/>
      <x:c r="B73" s="254"/>
      <x:c r="C73" s="254"/>
      <x:c r="D73" s="254"/>
      <x:c r="E73" s="254"/>
      <x:c r="F73" s="254"/>
      <x:c r="G73" s="254"/>
      <x:c r="H73" s="254"/>
      <x:c r="I73" s="254"/>
      <x:c r="J73" s="254"/>
      <x:c r="K73" s="254"/>
    </x:row>
    <x:row r="74">
      <x:c r="A74" s="254"/>
      <x:c r="B74" s="254"/>
      <x:c r="C74" s="254"/>
      <x:c r="D74" s="254"/>
      <x:c r="E74" s="254"/>
      <x:c r="F74" s="254"/>
      <x:c r="G74" s="254"/>
      <x:c r="H74" s="254"/>
      <x:c r="I74" s="254"/>
      <x:c r="J74" s="254"/>
      <x:c r="K74" s="254"/>
    </x:row>
    <x:row r="75">
      <x:c r="A75" s="254"/>
      <x:c r="B75" s="254"/>
      <x:c r="C75" s="254"/>
      <x:c r="D75" s="254"/>
      <x:c r="E75" s="254"/>
      <x:c r="F75" s="254"/>
      <x:c r="G75" s="254"/>
      <x:c r="H75" s="254"/>
      <x:c r="I75" s="254"/>
      <x:c r="J75" s="254"/>
      <x:c r="K75" s="254"/>
    </x:row>
    <x:row r="76">
      <x:c r="A76" s="254"/>
      <x:c r="B76" s="254"/>
      <x:c r="C76" s="254"/>
      <x:c r="D76" s="254"/>
      <x:c r="E76" s="254"/>
      <x:c r="F76" s="254"/>
      <x:c r="G76" s="254"/>
      <x:c r="H76" s="254"/>
      <x:c r="I76" s="254"/>
      <x:c r="J76" s="254"/>
      <x:c r="K76" s="254"/>
    </x:row>
    <x:row r="77">
      <x:c r="A77" s="254"/>
      <x:c r="B77" s="254"/>
      <x:c r="C77" s="254"/>
      <x:c r="D77" s="254"/>
      <x:c r="E77" s="254"/>
      <x:c r="F77" s="254"/>
      <x:c r="G77" s="254"/>
      <x:c r="H77" s="254"/>
      <x:c r="I77" s="254"/>
      <x:c r="J77" s="254"/>
      <x:c r="K77" s="254"/>
    </x:row>
    <x:row r="78">
      <x:c r="A78" s="254"/>
      <x:c r="B78" s="254"/>
      <x:c r="C78" s="254"/>
      <x:c r="D78" s="254"/>
      <x:c r="E78" s="254"/>
      <x:c r="F78" s="254"/>
      <x:c r="G78" s="254"/>
      <x:c r="H78" s="254"/>
      <x:c r="I78" s="254"/>
      <x:c r="J78" s="254"/>
      <x:c r="K78" s="254"/>
    </x:row>
    <x:row r="79">
      <x:c r="A79" s="254"/>
      <x:c r="B79" s="254"/>
      <x:c r="C79" s="254"/>
      <x:c r="D79" s="254"/>
      <x:c r="E79" s="254"/>
      <x:c r="F79" s="254"/>
      <x:c r="G79" s="254"/>
      <x:c r="H79" s="254"/>
      <x:c r="I79" s="254"/>
      <x:c r="J79" s="254"/>
      <x:c r="K79" s="254"/>
    </x:row>
    <x:row r="80">
      <x:c r="A80" s="254"/>
      <x:c r="B80" s="254"/>
      <x:c r="C80" s="254"/>
      <x:c r="D80" s="254"/>
      <x:c r="E80" s="254"/>
      <x:c r="F80" s="254"/>
      <x:c r="G80" s="254"/>
      <x:c r="H80" s="254"/>
      <x:c r="I80" s="254"/>
      <x:c r="J80" s="254"/>
      <x:c r="K80" s="254"/>
    </x:row>
    <x:row r="81">
      <x:c r="A81" s="254"/>
      <x:c r="B81" s="254"/>
      <x:c r="C81" s="254"/>
      <x:c r="D81" s="254"/>
      <x:c r="E81" s="254"/>
      <x:c r="F81" s="254"/>
      <x:c r="G81" s="254"/>
      <x:c r="H81" s="254"/>
      <x:c r="I81" s="254"/>
      <x:c r="J81" s="254"/>
      <x:c r="K81" s="254"/>
    </x:row>
    <x:row r="82">
      <x:c r="A82" s="254"/>
      <x:c r="B82" s="254"/>
      <x:c r="C82" s="254"/>
      <x:c r="D82" s="254"/>
      <x:c r="E82" s="254"/>
      <x:c r="F82" s="254"/>
      <x:c r="G82" s="254"/>
      <x:c r="H82" s="254"/>
      <x:c r="I82" s="254"/>
      <x:c r="J82" s="254"/>
      <x:c r="K82" s="254"/>
    </x:row>
    <x:row r="83">
      <x:c r="A83" s="254"/>
      <x:c r="B83" s="254"/>
      <x:c r="C83" s="254"/>
      <x:c r="D83" s="254"/>
      <x:c r="E83" s="254"/>
      <x:c r="F83" s="254"/>
      <x:c r="G83" s="254"/>
      <x:c r="H83" s="254"/>
      <x:c r="I83" s="254"/>
      <x:c r="J83" s="254"/>
      <x:c r="K83" s="254"/>
    </x:row>
    <x:row r="84">
      <x:c r="A84" s="254"/>
      <x:c r="B84" s="254"/>
      <x:c r="C84" s="254"/>
      <x:c r="D84" s="254"/>
      <x:c r="E84" s="254"/>
      <x:c r="F84" s="254"/>
      <x:c r="G84" s="254"/>
      <x:c r="H84" s="254"/>
      <x:c r="I84" s="254"/>
      <x:c r="J84" s="254"/>
      <x:c r="K84" s="254"/>
    </x:row>
    <x:row r="85">
      <x:c r="A85" s="254"/>
      <x:c r="B85" s="254"/>
      <x:c r="C85" s="254"/>
      <x:c r="D85" s="254"/>
      <x:c r="E85" s="254"/>
      <x:c r="F85" s="254"/>
      <x:c r="G85" s="254"/>
      <x:c r="H85" s="254"/>
      <x:c r="I85" s="254"/>
      <x:c r="J85" s="254"/>
      <x:c r="K85" s="254"/>
    </x:row>
    <x:row r="86">
      <x:c r="A86" s="254"/>
      <x:c r="B86" s="254"/>
      <x:c r="C86" s="254"/>
      <x:c r="D86" s="254"/>
      <x:c r="E86" s="254"/>
      <x:c r="F86" s="254"/>
      <x:c r="G86" s="254"/>
      <x:c r="H86" s="254"/>
      <x:c r="I86" s="254"/>
      <x:c r="J86" s="254"/>
      <x:c r="K86" s="254"/>
    </x:row>
    <x:row r="87">
      <x:c r="A87" s="254"/>
      <x:c r="B87" s="254"/>
      <x:c r="C87" s="254"/>
      <x:c r="D87" s="254"/>
      <x:c r="E87" s="254"/>
      <x:c r="F87" s="254"/>
      <x:c r="G87" s="254"/>
      <x:c r="H87" s="254"/>
      <x:c r="I87" s="254"/>
      <x:c r="J87" s="254"/>
      <x:c r="K87" s="254"/>
    </x:row>
    <x:row r="88">
      <x:c r="A88" s="254"/>
      <x:c r="B88" s="254"/>
      <x:c r="C88" s="254"/>
      <x:c r="D88" s="254"/>
      <x:c r="E88" s="254"/>
      <x:c r="F88" s="254"/>
      <x:c r="G88" s="254"/>
      <x:c r="H88" s="254"/>
      <x:c r="I88" s="254"/>
      <x:c r="J88" s="254"/>
      <x:c r="K88" s="254"/>
    </x:row>
    <x:row r="89">
      <x:c r="A89" s="254"/>
      <x:c r="B89" s="254"/>
      <x:c r="C89" s="254"/>
      <x:c r="D89" s="254"/>
      <x:c r="E89" s="254"/>
      <x:c r="F89" s="254"/>
      <x:c r="G89" s="254"/>
      <x:c r="H89" s="254"/>
      <x:c r="I89" s="254"/>
      <x:c r="J89" s="254"/>
      <x:c r="K89" s="254"/>
    </x:row>
    <x:row r="90">
      <x:c r="A90" s="254"/>
      <x:c r="B90" s="254"/>
      <x:c r="C90" s="254"/>
      <x:c r="D90" s="254"/>
      <x:c r="E90" s="254"/>
      <x:c r="F90" s="254"/>
      <x:c r="G90" s="254"/>
      <x:c r="H90" s="254"/>
      <x:c r="I90" s="254"/>
      <x:c r="J90" s="254"/>
      <x:c r="K90" s="254"/>
    </x:row>
    <x:row r="91">
      <x:c r="A91" s="254"/>
      <x:c r="B91" s="254"/>
      <x:c r="C91" s="254"/>
      <x:c r="D91" s="254"/>
      <x:c r="E91" s="254"/>
      <x:c r="F91" s="254"/>
      <x:c r="G91" s="254"/>
      <x:c r="H91" s="254"/>
      <x:c r="I91" s="254"/>
      <x:c r="J91" s="254"/>
      <x:c r="K91" s="254"/>
    </x:row>
    <x:row r="92">
      <x:c r="A92" s="254"/>
      <x:c r="B92" s="254"/>
      <x:c r="C92" s="254"/>
      <x:c r="D92" s="254"/>
      <x:c r="E92" s="254"/>
      <x:c r="F92" s="254"/>
      <x:c r="G92" s="254"/>
      <x:c r="H92" s="254"/>
      <x:c r="I92" s="254"/>
      <x:c r="J92" s="254"/>
      <x:c r="K92" s="254"/>
    </x:row>
    <x:row r="93">
      <x:c r="A93" s="254"/>
      <x:c r="B93" s="254"/>
      <x:c r="C93" s="254"/>
      <x:c r="D93" s="254"/>
      <x:c r="E93" s="254"/>
      <x:c r="F93" s="254"/>
      <x:c r="G93" s="254"/>
      <x:c r="H93" s="254"/>
      <x:c r="I93" s="254"/>
      <x:c r="J93" s="254"/>
      <x:c r="K93" s="254"/>
    </x:row>
    <x:row r="94">
      <x:c r="A94" s="254"/>
      <x:c r="B94" s="254"/>
      <x:c r="C94" s="254"/>
      <x:c r="D94" s="254"/>
      <x:c r="E94" s="254"/>
      <x:c r="F94" s="254"/>
      <x:c r="G94" s="254"/>
      <x:c r="H94" s="254"/>
      <x:c r="I94" s="254"/>
      <x:c r="J94" s="254"/>
      <x:c r="K94" s="254"/>
    </x:row>
    <x:row r="95">
      <x:c r="A95" s="254"/>
      <x:c r="B95" s="254"/>
      <x:c r="C95" s="254"/>
      <x:c r="D95" s="254"/>
      <x:c r="E95" s="254"/>
      <x:c r="F95" s="254"/>
      <x:c r="G95" s="254"/>
      <x:c r="H95" s="254"/>
      <x:c r="I95" s="254"/>
      <x:c r="J95" s="254"/>
      <x:c r="K95" s="254"/>
    </x:row>
    <x:row r="96">
      <x:c r="A96" s="254"/>
      <x:c r="B96" s="254"/>
      <x:c r="C96" s="254"/>
      <x:c r="D96" s="254"/>
      <x:c r="E96" s="254"/>
      <x:c r="F96" s="254"/>
      <x:c r="G96" s="254"/>
      <x:c r="H96" s="254"/>
      <x:c r="I96" s="254"/>
      <x:c r="J96" s="254"/>
      <x:c r="K96" s="254"/>
    </x:row>
    <x:row r="97">
      <x:c r="A97" s="254"/>
      <x:c r="B97" s="254"/>
      <x:c r="C97" s="254"/>
      <x:c r="D97" s="254"/>
      <x:c r="E97" s="254"/>
      <x:c r="F97" s="254"/>
      <x:c r="G97" s="254"/>
      <x:c r="H97" s="254"/>
      <x:c r="I97" s="254"/>
      <x:c r="J97" s="254"/>
      <x:c r="K97" s="254"/>
    </x:row>
    <x:row r="98">
      <x:c r="A98" s="254"/>
      <x:c r="B98" s="254"/>
      <x:c r="C98" s="254"/>
      <x:c r="D98" s="254"/>
      <x:c r="E98" s="254"/>
      <x:c r="F98" s="254"/>
      <x:c r="G98" s="254"/>
      <x:c r="H98" s="254"/>
      <x:c r="I98" s="254"/>
      <x:c r="J98" s="254"/>
      <x:c r="K98" s="254"/>
    </x:row>
    <x:row r="99">
      <x:c r="A99" s="254"/>
      <x:c r="B99" s="254"/>
      <x:c r="C99" s="254"/>
      <x:c r="D99" s="254"/>
      <x:c r="E99" s="254"/>
      <x:c r="F99" s="254"/>
      <x:c r="G99" s="254"/>
      <x:c r="H99" s="254"/>
      <x:c r="I99" s="254"/>
      <x:c r="J99" s="254"/>
      <x:c r="K99" s="254"/>
    </x:row>
    <x:row r="100">
      <x:c r="A100" s="254"/>
      <x:c r="B100" s="254"/>
      <x:c r="C100" s="254"/>
      <x:c r="D100" s="254"/>
      <x:c r="E100" s="254"/>
      <x:c r="F100" s="254"/>
      <x:c r="G100" s="254"/>
      <x:c r="H100" s="254"/>
      <x:c r="I100" s="254"/>
      <x:c r="J100" s="254"/>
      <x:c r="K100" s="254"/>
    </x:row>
    <x:row r="101">
      <x:c r="A101" s="254"/>
      <x:c r="B101" s="254"/>
      <x:c r="C101" s="254"/>
      <x:c r="D101" s="254"/>
      <x:c r="E101" s="254"/>
      <x:c r="F101" s="254"/>
      <x:c r="G101" s="254"/>
      <x:c r="H101" s="254"/>
      <x:c r="I101" s="254"/>
      <x:c r="J101" s="254"/>
      <x:c r="K101" s="254"/>
    </x:row>
    <x:row r="102">
      <x:c r="A102" s="254"/>
      <x:c r="B102" s="254"/>
      <x:c r="C102" s="254"/>
      <x:c r="D102" s="254"/>
      <x:c r="E102" s="254"/>
      <x:c r="F102" s="254"/>
      <x:c r="G102" s="254"/>
      <x:c r="H102" s="254"/>
      <x:c r="I102" s="254"/>
      <x:c r="J102" s="254"/>
      <x:c r="K102" s="254"/>
    </x:row>
    <x:row r="103">
      <x:c r="A103" s="254"/>
      <x:c r="B103" s="254"/>
      <x:c r="C103" s="254"/>
      <x:c r="D103" s="254"/>
      <x:c r="E103" s="254"/>
      <x:c r="F103" s="254"/>
      <x:c r="G103" s="254"/>
      <x:c r="H103" s="254"/>
      <x:c r="I103" s="254"/>
      <x:c r="J103" s="254"/>
      <x:c r="K103" s="254"/>
    </x:row>
    <x:row r="104">
      <x:c r="A104" s="254"/>
      <x:c r="B104" s="254"/>
      <x:c r="C104" s="254"/>
      <x:c r="D104" s="254"/>
      <x:c r="E104" s="254"/>
      <x:c r="F104" s="254"/>
      <x:c r="G104" s="254"/>
      <x:c r="H104" s="254"/>
      <x:c r="I104" s="254"/>
      <x:c r="J104" s="254"/>
      <x:c r="K104" s="254"/>
    </x:row>
    <x:row r="105">
      <x:c r="A105" s="254"/>
      <x:c r="B105" s="254"/>
      <x:c r="C105" s="254"/>
      <x:c r="D105" s="254"/>
      <x:c r="E105" s="254"/>
      <x:c r="F105" s="254"/>
      <x:c r="G105" s="254"/>
      <x:c r="H105" s="254"/>
      <x:c r="I105" s="254"/>
      <x:c r="J105" s="254"/>
      <x:c r="K105" s="254"/>
    </x:row>
    <x:row r="106">
      <x:c r="A106" s="254"/>
      <x:c r="B106" s="254"/>
      <x:c r="C106" s="254"/>
      <x:c r="D106" s="254"/>
      <x:c r="E106" s="254"/>
      <x:c r="F106" s="254"/>
      <x:c r="G106" s="254"/>
      <x:c r="H106" s="254"/>
      <x:c r="I106" s="254"/>
      <x:c r="J106" s="254"/>
      <x:c r="K106" s="254"/>
    </x:row>
    <x:row r="107">
      <x:c r="A107" s="254"/>
      <x:c r="B107" s="254"/>
      <x:c r="C107" s="254"/>
      <x:c r="D107" s="254"/>
      <x:c r="E107" s="254"/>
      <x:c r="F107" s="254"/>
      <x:c r="G107" s="254"/>
      <x:c r="H107" s="254"/>
      <x:c r="I107" s="254"/>
      <x:c r="J107" s="254"/>
      <x:c r="K107" s="254"/>
    </x:row>
    <x:row r="108">
      <x:c r="A108" s="254"/>
      <x:c r="B108" s="254"/>
      <x:c r="C108" s="254"/>
      <x:c r="D108" s="254"/>
      <x:c r="E108" s="254"/>
      <x:c r="F108" s="254"/>
      <x:c r="G108" s="254"/>
      <x:c r="H108" s="254"/>
      <x:c r="I108" s="254"/>
      <x:c r="J108" s="254"/>
      <x:c r="K108" s="254"/>
    </x:row>
    <x:row r="109">
      <x:c r="A109" s="254"/>
      <x:c r="B109" s="254"/>
      <x:c r="C109" s="254"/>
      <x:c r="D109" s="254"/>
      <x:c r="E109" s="254"/>
      <x:c r="F109" s="254"/>
      <x:c r="G109" s="254"/>
      <x:c r="H109" s="254"/>
      <x:c r="I109" s="254"/>
      <x:c r="J109" s="254"/>
      <x:c r="K109" s="254"/>
    </x:row>
    <x:row r="110">
      <x:c r="A110" s="254"/>
      <x:c r="B110" s="254"/>
      <x:c r="C110" s="254"/>
      <x:c r="D110" s="254"/>
      <x:c r="E110" s="254"/>
      <x:c r="F110" s="254"/>
      <x:c r="G110" s="254"/>
      <x:c r="H110" s="254"/>
      <x:c r="I110" s="254"/>
      <x:c r="J110" s="254"/>
      <x:c r="K110" s="254"/>
    </x:row>
    <x:row r="111">
      <x:c r="A111" s="254"/>
      <x:c r="B111" s="254"/>
      <x:c r="C111" s="254"/>
      <x:c r="D111" s="254"/>
      <x:c r="E111" s="254"/>
      <x:c r="F111" s="254"/>
      <x:c r="G111" s="254"/>
      <x:c r="H111" s="254"/>
      <x:c r="I111" s="254"/>
      <x:c r="J111" s="254"/>
      <x:c r="K111" s="254"/>
    </x:row>
    <x:row r="112">
      <x:c r="A112" s="254"/>
      <x:c r="B112" s="254"/>
      <x:c r="C112" s="254"/>
      <x:c r="D112" s="254"/>
      <x:c r="E112" s="254"/>
      <x:c r="F112" s="254"/>
      <x:c r="G112" s="254"/>
      <x:c r="H112" s="254"/>
      <x:c r="I112" s="254"/>
      <x:c r="J112" s="254"/>
      <x:c r="K112" s="254"/>
    </x:row>
    <x:row r="113">
      <x:c r="A113" s="254"/>
      <x:c r="B113" s="254"/>
      <x:c r="C113" s="254"/>
      <x:c r="D113" s="254"/>
      <x:c r="E113" s="254"/>
      <x:c r="F113" s="254"/>
      <x:c r="G113" s="254"/>
      <x:c r="H113" s="254"/>
      <x:c r="I113" s="254"/>
      <x:c r="J113" s="254"/>
      <x:c r="K113" s="254"/>
    </x:row>
    <x:row r="114">
      <x:c r="A114" s="254"/>
      <x:c r="B114" s="254"/>
      <x:c r="C114" s="254"/>
      <x:c r="D114" s="254"/>
      <x:c r="E114" s="254"/>
      <x:c r="F114" s="254"/>
      <x:c r="G114" s="254"/>
      <x:c r="H114" s="254"/>
      <x:c r="I114" s="254"/>
      <x:c r="J114" s="254"/>
      <x:c r="K114" s="254"/>
    </x:row>
    <x:row r="115">
      <x:c r="A115" s="254"/>
      <x:c r="B115" s="254"/>
      <x:c r="C115" s="254"/>
      <x:c r="D115" s="254"/>
      <x:c r="E115" s="254"/>
      <x:c r="F115" s="254"/>
      <x:c r="G115" s="254"/>
      <x:c r="H115" s="254"/>
      <x:c r="I115" s="254"/>
      <x:c r="J115" s="254"/>
      <x:c r="K115" s="254"/>
    </x:row>
    <x:row r="116">
      <x:c r="A116" s="254"/>
      <x:c r="B116" s="254"/>
      <x:c r="C116" s="254"/>
      <x:c r="D116" s="254"/>
      <x:c r="E116" s="254"/>
      <x:c r="F116" s="254"/>
      <x:c r="G116" s="254"/>
      <x:c r="H116" s="254"/>
      <x:c r="I116" s="254"/>
      <x:c r="J116" s="254"/>
      <x:c r="K116" s="254"/>
    </x:row>
    <x:row r="117">
      <x:c r="A117" s="254"/>
      <x:c r="B117" s="254"/>
      <x:c r="C117" s="254"/>
      <x:c r="D117" s="254"/>
      <x:c r="E117" s="254"/>
      <x:c r="F117" s="254"/>
      <x:c r="G117" s="254"/>
      <x:c r="H117" s="254"/>
      <x:c r="I117" s="254"/>
      <x:c r="J117" s="254"/>
      <x:c r="K117" s="254"/>
    </x:row>
    <x:row r="118">
      <x:c r="A118" s="254"/>
      <x:c r="B118" s="254"/>
      <x:c r="C118" s="254"/>
      <x:c r="D118" s="254"/>
      <x:c r="E118" s="254"/>
      <x:c r="F118" s="254"/>
      <x:c r="G118" s="254"/>
      <x:c r="H118" s="254"/>
      <x:c r="I118" s="254"/>
      <x:c r="J118" s="254"/>
      <x:c r="K118" s="254"/>
    </x:row>
    <x:row r="119">
      <x:c r="A119" s="254"/>
      <x:c r="B119" s="254"/>
      <x:c r="C119" s="254"/>
      <x:c r="D119" s="254"/>
      <x:c r="E119" s="254"/>
      <x:c r="F119" s="254"/>
      <x:c r="G119" s="254"/>
      <x:c r="H119" s="254"/>
      <x:c r="I119" s="254"/>
      <x:c r="J119" s="254"/>
      <x:c r="K119" s="254"/>
    </x:row>
    <x:row r="120">
      <x:c r="A120" s="254"/>
      <x:c r="B120" s="254"/>
      <x:c r="C120" s="254"/>
      <x:c r="D120" s="254"/>
      <x:c r="E120" s="254"/>
      <x:c r="F120" s="254"/>
      <x:c r="G120" s="254"/>
      <x:c r="H120" s="254"/>
      <x:c r="I120" s="254"/>
      <x:c r="J120" s="254"/>
      <x:c r="K120" s="254"/>
    </x:row>
    <x:row r="121">
      <x:c r="A121" s="254"/>
      <x:c r="B121" s="254"/>
      <x:c r="C121" s="254"/>
      <x:c r="D121" s="254"/>
      <x:c r="E121" s="254"/>
      <x:c r="F121" s="254"/>
      <x:c r="G121" s="254"/>
      <x:c r="H121" s="254"/>
      <x:c r="I121" s="254"/>
      <x:c r="J121" s="254"/>
      <x:c r="K121" s="254"/>
    </x:row>
    <x:row r="122">
      <x:c r="A122" s="254"/>
      <x:c r="B122" s="254"/>
      <x:c r="C122" s="254"/>
      <x:c r="D122" s="254"/>
      <x:c r="E122" s="254"/>
      <x:c r="F122" s="254"/>
      <x:c r="G122" s="254"/>
      <x:c r="H122" s="254"/>
      <x:c r="I122" s="254"/>
      <x:c r="J122" s="254"/>
      <x:c r="K122" s="254"/>
    </x:row>
    <x:row r="123">
      <x:c r="A123" s="254"/>
      <x:c r="B123" s="254"/>
      <x:c r="C123" s="254"/>
      <x:c r="D123" s="254"/>
      <x:c r="E123" s="254"/>
      <x:c r="F123" s="254"/>
      <x:c r="G123" s="254"/>
      <x:c r="H123" s="254"/>
      <x:c r="I123" s="254"/>
      <x:c r="J123" s="254"/>
      <x:c r="K123" s="254"/>
    </x:row>
    <x:row r="124">
      <x:c r="A124" s="254"/>
      <x:c r="B124" s="254"/>
      <x:c r="C124" s="254"/>
      <x:c r="D124" s="254"/>
      <x:c r="E124" s="254"/>
      <x:c r="F124" s="254"/>
      <x:c r="G124" s="254"/>
      <x:c r="H124" s="254"/>
      <x:c r="I124" s="254"/>
      <x:c r="J124" s="254"/>
      <x:c r="K124" s="254"/>
    </x:row>
    <x:row r="125">
      <x:c r="A125" s="254"/>
      <x:c r="B125" s="254"/>
      <x:c r="C125" s="254"/>
      <x:c r="D125" s="254"/>
      <x:c r="E125" s="254"/>
      <x:c r="F125" s="254"/>
      <x:c r="G125" s="254"/>
      <x:c r="H125" s="254"/>
      <x:c r="I125" s="254"/>
      <x:c r="J125" s="254"/>
      <x:c r="K125" s="254"/>
    </x:row>
    <x:row r="126">
      <x:c r="A126" s="254"/>
      <x:c r="B126" s="254"/>
      <x:c r="C126" s="254"/>
      <x:c r="D126" s="254"/>
      <x:c r="E126" s="254"/>
      <x:c r="F126" s="254"/>
      <x:c r="G126" s="254"/>
      <x:c r="H126" s="254"/>
      <x:c r="I126" s="254"/>
      <x:c r="J126" s="254"/>
      <x:c r="K126" s="254"/>
    </x:row>
    <x:row r="127">
      <x:c r="A127" s="254"/>
      <x:c r="B127" s="254"/>
      <x:c r="C127" s="254"/>
      <x:c r="D127" s="254"/>
      <x:c r="E127" s="254"/>
      <x:c r="F127" s="254"/>
      <x:c r="G127" s="254"/>
      <x:c r="H127" s="254"/>
      <x:c r="I127" s="254"/>
      <x:c r="J127" s="254"/>
      <x:c r="K127" s="254"/>
    </x:row>
    <x:row r="128">
      <x:c r="A128" s="254"/>
      <x:c r="B128" s="254"/>
      <x:c r="C128" s="254"/>
      <x:c r="D128" s="254"/>
      <x:c r="E128" s="254"/>
      <x:c r="F128" s="254"/>
      <x:c r="G128" s="254"/>
      <x:c r="H128" s="254"/>
      <x:c r="I128" s="254"/>
      <x:c r="J128" s="254"/>
      <x:c r="K128" s="254"/>
    </x:row>
    <x:row r="129">
      <x:c r="A129" s="254"/>
      <x:c r="B129" s="254"/>
      <x:c r="C129" s="254"/>
      <x:c r="D129" s="254"/>
      <x:c r="E129" s="254"/>
      <x:c r="F129" s="254"/>
      <x:c r="G129" s="254"/>
      <x:c r="H129" s="254"/>
      <x:c r="I129" s="254"/>
      <x:c r="J129" s="254"/>
      <x:c r="K129" s="254"/>
    </x:row>
    <x:row r="130">
      <x:c r="A130" s="254"/>
      <x:c r="B130" s="254"/>
      <x:c r="C130" s="254"/>
      <x:c r="D130" s="254"/>
      <x:c r="E130" s="254"/>
      <x:c r="F130" s="254"/>
      <x:c r="G130" s="254"/>
      <x:c r="H130" s="254"/>
      <x:c r="I130" s="254"/>
      <x:c r="J130" s="254"/>
      <x:c r="K130" s="254"/>
    </x:row>
    <x:row r="131">
      <x:c r="A131" s="254"/>
      <x:c r="B131" s="254"/>
      <x:c r="C131" s="254"/>
      <x:c r="D131" s="254"/>
      <x:c r="E131" s="254"/>
      <x:c r="F131" s="254"/>
      <x:c r="G131" s="254"/>
      <x:c r="H131" s="254"/>
      <x:c r="I131" s="254"/>
      <x:c r="J131" s="254"/>
      <x:c r="K131" s="254"/>
    </x:row>
    <x:row r="132">
      <x:c r="A132" s="254"/>
      <x:c r="B132" s="254"/>
      <x:c r="C132" s="254"/>
      <x:c r="D132" s="254"/>
      <x:c r="E132" s="254"/>
      <x:c r="F132" s="254"/>
      <x:c r="G132" s="254"/>
      <x:c r="H132" s="254"/>
      <x:c r="I132" s="254"/>
      <x:c r="J132" s="254"/>
      <x:c r="K132" s="254"/>
    </x:row>
    <x:row r="133">
      <x:c r="A133" s="254"/>
      <x:c r="B133" s="254"/>
      <x:c r="C133" s="254"/>
      <x:c r="D133" s="254"/>
      <x:c r="E133" s="254"/>
      <x:c r="F133" s="254"/>
      <x:c r="G133" s="254"/>
      <x:c r="H133" s="254"/>
      <x:c r="I133" s="254"/>
      <x:c r="J133" s="254"/>
      <x:c r="K133" s="254"/>
    </x:row>
    <x:row r="134">
      <x:c r="A134" s="254"/>
      <x:c r="B134" s="254"/>
      <x:c r="C134" s="254"/>
      <x:c r="D134" s="254"/>
      <x:c r="E134" s="254"/>
      <x:c r="F134" s="254"/>
      <x:c r="G134" s="254"/>
      <x:c r="H134" s="254"/>
      <x:c r="I134" s="254"/>
      <x:c r="J134" s="254"/>
      <x:c r="K134" s="254"/>
    </x:row>
    <x:row r="135">
      <x:c r="A135" s="254"/>
      <x:c r="B135" s="254"/>
      <x:c r="C135" s="254"/>
      <x:c r="D135" s="254"/>
      <x:c r="E135" s="254"/>
      <x:c r="F135" s="254"/>
      <x:c r="G135" s="254"/>
      <x:c r="H135" s="254"/>
      <x:c r="I135" s="254"/>
      <x:c r="J135" s="254"/>
      <x:c r="K135" s="254"/>
    </x:row>
    <x:row r="136">
      <x:c r="A136" s="254"/>
      <x:c r="B136" s="254"/>
      <x:c r="C136" s="254"/>
      <x:c r="D136" s="254"/>
      <x:c r="E136" s="254"/>
      <x:c r="F136" s="254"/>
      <x:c r="G136" s="254"/>
      <x:c r="H136" s="254"/>
      <x:c r="I136" s="254"/>
      <x:c r="J136" s="254"/>
      <x:c r="K136" s="254"/>
    </x:row>
    <x:row r="137">
      <x:c r="A137" s="254"/>
      <x:c r="B137" s="254"/>
      <x:c r="C137" s="254"/>
      <x:c r="D137" s="254"/>
      <x:c r="E137" s="254"/>
      <x:c r="F137" s="254"/>
      <x:c r="G137" s="254"/>
      <x:c r="H137" s="254"/>
      <x:c r="I137" s="254"/>
      <x:c r="J137" s="254"/>
      <x:c r="K137" s="254"/>
    </x:row>
    <x:row r="138">
      <x:c r="A138" s="254"/>
      <x:c r="B138" s="254"/>
      <x:c r="C138" s="254"/>
      <x:c r="D138" s="254"/>
      <x:c r="E138" s="254"/>
      <x:c r="F138" s="254"/>
      <x:c r="G138" s="254"/>
      <x:c r="H138" s="254"/>
      <x:c r="I138" s="254"/>
      <x:c r="J138" s="254"/>
      <x:c r="K138" s="254"/>
    </x:row>
    <x:row r="139">
      <x:c r="A139" s="254"/>
      <x:c r="B139" s="254"/>
      <x:c r="C139" s="254"/>
      <x:c r="D139" s="254"/>
      <x:c r="E139" s="254"/>
      <x:c r="F139" s="254"/>
      <x:c r="G139" s="254"/>
      <x:c r="H139" s="254"/>
      <x:c r="I139" s="254"/>
      <x:c r="J139" s="254"/>
      <x:c r="K139" s="254"/>
    </x:row>
    <x:row r="140">
      <x:c r="A140" s="254"/>
      <x:c r="B140" s="254"/>
      <x:c r="C140" s="254"/>
      <x:c r="D140" s="254"/>
      <x:c r="E140" s="254"/>
      <x:c r="F140" s="254"/>
      <x:c r="G140" s="254"/>
      <x:c r="H140" s="254"/>
      <x:c r="I140" s="254"/>
      <x:c r="J140" s="254"/>
      <x:c r="K140" s="254"/>
    </x:row>
    <x:row r="141">
      <x:c r="A141" s="254"/>
      <x:c r="B141" s="254"/>
      <x:c r="C141" s="254"/>
      <x:c r="D141" s="254"/>
      <x:c r="E141" s="254"/>
      <x:c r="F141" s="254"/>
      <x:c r="G141" s="254"/>
      <x:c r="H141" s="254"/>
      <x:c r="I141" s="254"/>
      <x:c r="J141" s="254"/>
      <x:c r="K141" s="254"/>
    </x:row>
    <x:row r="142">
      <x:c r="A142" s="254"/>
      <x:c r="B142" s="254"/>
      <x:c r="C142" s="254"/>
      <x:c r="D142" s="254"/>
      <x:c r="E142" s="254"/>
      <x:c r="F142" s="254"/>
      <x:c r="G142" s="254"/>
      <x:c r="H142" s="254"/>
      <x:c r="I142" s="254"/>
      <x:c r="J142" s="254"/>
      <x:c r="K142" s="254"/>
    </x:row>
    <x:row r="143">
      <x:c r="A143" s="254"/>
      <x:c r="B143" s="254"/>
      <x:c r="C143" s="254"/>
      <x:c r="D143" s="254"/>
      <x:c r="E143" s="254"/>
      <x:c r="F143" s="254"/>
      <x:c r="G143" s="254"/>
      <x:c r="H143" s="254"/>
      <x:c r="I143" s="254"/>
      <x:c r="J143" s="254"/>
      <x:c r="K143" s="254"/>
    </x:row>
    <x:row r="144">
      <x:c r="A144" s="254"/>
      <x:c r="B144" s="254"/>
      <x:c r="C144" s="254"/>
      <x:c r="D144" s="254"/>
      <x:c r="E144" s="254"/>
      <x:c r="F144" s="254"/>
      <x:c r="G144" s="254"/>
      <x:c r="H144" s="254"/>
      <x:c r="I144" s="254"/>
      <x:c r="J144" s="254"/>
      <x:c r="K144" s="254"/>
    </x:row>
    <x:row r="145">
      <x:c r="A145" s="254"/>
      <x:c r="B145" s="254"/>
      <x:c r="C145" s="254"/>
      <x:c r="D145" s="254"/>
      <x:c r="E145" s="254"/>
      <x:c r="F145" s="254"/>
      <x:c r="G145" s="254"/>
      <x:c r="H145" s="254"/>
      <x:c r="I145" s="254"/>
      <x:c r="J145" s="254"/>
      <x:c r="K145" s="254"/>
    </x:row>
    <x:row r="146">
      <x:c r="A146" s="254"/>
      <x:c r="B146" s="254"/>
      <x:c r="C146" s="254"/>
      <x:c r="D146" s="254"/>
      <x:c r="E146" s="254"/>
      <x:c r="F146" s="254"/>
      <x:c r="G146" s="254"/>
      <x:c r="H146" s="254"/>
      <x:c r="I146" s="254"/>
      <x:c r="J146" s="254"/>
      <x:c r="K146" s="254"/>
    </x:row>
    <x:row r="147">
      <x:c r="A147" s="254"/>
      <x:c r="B147" s="254"/>
      <x:c r="C147" s="254"/>
      <x:c r="D147" s="254"/>
      <x:c r="E147" s="254"/>
      <x:c r="F147" s="254"/>
      <x:c r="G147" s="254"/>
      <x:c r="H147" s="254"/>
      <x:c r="I147" s="254"/>
      <x:c r="J147" s="254"/>
      <x:c r="K147" s="254"/>
    </x:row>
    <x:row r="148">
      <x:c r="A148" s="254"/>
      <x:c r="B148" s="254"/>
      <x:c r="C148" s="254"/>
      <x:c r="D148" s="254"/>
      <x:c r="E148" s="254"/>
      <x:c r="F148" s="254"/>
      <x:c r="G148" s="254"/>
      <x:c r="H148" s="254"/>
      <x:c r="I148" s="254"/>
      <x:c r="J148" s="254"/>
      <x:c r="K148" s="254"/>
    </x:row>
    <x:row r="149">
      <x:c r="A149" s="254"/>
      <x:c r="B149" s="254"/>
      <x:c r="C149" s="254"/>
      <x:c r="D149" s="254"/>
      <x:c r="E149" s="254"/>
      <x:c r="F149" s="254"/>
      <x:c r="G149" s="254"/>
      <x:c r="H149" s="254"/>
      <x:c r="I149" s="254"/>
      <x:c r="J149" s="254"/>
      <x:c r="K149" s="254"/>
    </x:row>
    <x:row r="150">
      <x:c r="A150" s="254"/>
      <x:c r="B150" s="254"/>
      <x:c r="C150" s="254"/>
      <x:c r="D150" s="254"/>
      <x:c r="E150" s="254"/>
      <x:c r="F150" s="254"/>
      <x:c r="G150" s="254"/>
      <x:c r="H150" s="254"/>
      <x:c r="I150" s="254"/>
      <x:c r="J150" s="254"/>
      <x:c r="K150" s="254"/>
    </x:row>
  </x:sheetData>
  <x:mergeCells>
    <x:mergeCell ref="A1:D1"/>
    <x:mergeCell ref="A2:D2"/>
  </x:mergeCells>
  <x:conditionalFormatting sqref="B4:B14">
    <x:cfRule type="expression" dxfId="0" priority="1">
      <x:formula>B4="PASS"</x:formula>
    </x:cfRule>
    <x:cfRule type="expression" dxfId="1" priority="2">
      <x:formula>B4="CHECK"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2" hidden="0" customWidth="1"/>
    <x:col min="3" max="3" width="18" hidden="0" customWidth="1"/>
    <x:col min="4" max="4" width="16" hidden="0" customWidth="1"/>
    <x:col min="5" max="5" width="52" hidden="0" customWidth="1"/>
  </x:cols>
  <x:sheetData>
    <x:row r="1" ht="25" customHeight="1">
      <x:c r="A1" s="70" t="str">
        <x:v>RAW DATA — BANKING CCA INPUTS</x:v>
      </x:c>
      <x:c r="B1" s="71"/>
      <x:c r="C1" s="71"/>
      <x:c r="D1" s="71"/>
      <x:c r="E1" s="72"/>
      <x:c r="F1" s="254"/>
      <x:c r="G1" s="254"/>
      <x:c r="H1" s="254"/>
      <x:c r="I1" s="254"/>
      <x:c r="J1" s="254"/>
      <x:c r="K1" s="254"/>
    </x:row>
    <x:row r="2" ht="22" customHeight="1">
      <x:c r="A2" s="73" t="str">
        <x:v>Single consolidated raw-input page; each bank appears once, followed by all inputs</x:v>
      </x:c>
      <x:c r="B2" s="74"/>
      <x:c r="C2" s="74"/>
      <x:c r="D2" s="74"/>
      <x:c r="E2" s="75"/>
      <x:c r="F2" s="254"/>
      <x:c r="G2" s="254"/>
      <x:c r="H2" s="254"/>
      <x:c r="I2" s="254"/>
      <x:c r="J2" s="254"/>
      <x:c r="K2" s="254"/>
    </x:row>
    <x:row r="3">
      <x:c r="A3" s="260"/>
      <x:c r="B3" s="261"/>
      <x:c r="C3" s="261"/>
      <x:c r="D3" s="261"/>
      <x:c r="E3" s="262"/>
      <x:c r="F3" s="254"/>
      <x:c r="G3" s="254"/>
      <x:c r="H3" s="254"/>
      <x:c r="I3" s="254"/>
      <x:c r="J3" s="254"/>
      <x:c r="K3" s="254"/>
    </x:row>
    <x:row r="4" ht="21" customHeight="1">
      <x:c r="A4" s="76" t="str">
        <x:v>AXIS BANK (AXISBANK)</x:v>
      </x:c>
      <x:c r="B4" s="77"/>
      <x:c r="C4" s="77"/>
      <x:c r="D4" s="77"/>
      <x:c r="E4" s="78"/>
      <x:c r="F4" s="254"/>
      <x:c r="G4" s="254"/>
      <x:c r="H4" s="254"/>
      <x:c r="I4" s="254"/>
      <x:c r="J4" s="254"/>
      <x:c r="K4" s="254"/>
    </x:row>
    <x:row r="5" ht="32" customHeight="1">
      <x:c r="A5" s="79" t="str">
        <x:v>Metric</x:v>
      </x:c>
      <x:c r="B5" s="80" t="str">
        <x:v>Value</x:v>
      </x:c>
      <x:c r="C5" s="80" t="str">
        <x:v>Unit</x:v>
      </x:c>
      <x:c r="D5" s="80" t="str">
        <x:v>Period</x:v>
      </x:c>
      <x:c r="E5" s="81" t="str">
        <x:v>Source / Note</x:v>
      </x:c>
      <x:c r="F5" s="254"/>
      <x:c r="G5" s="254"/>
      <x:c r="H5" s="254"/>
      <x:c r="I5" s="254"/>
      <x:c r="J5" s="254"/>
      <x:c r="K5" s="254"/>
    </x:row>
    <x:row r="6">
      <x:c r="A6" s="260" t="str">
        <x:v>Share Price</x:v>
      </x:c>
      <x:c r="B6" s="112" t="n">
        <x:v>1257</x:v>
      </x:c>
      <x:c r="C6" s="261" t="str">
        <x:v>₹ / share</x:v>
      </x:c>
      <x:c r="D6" s="261" t="str">
        <x:v>18-Sep-2026</x:v>
      </x:c>
      <x:c r="E6" s="262" t="str">
        <x:v>Screener</x:v>
      </x:c>
      <x:c r="F6" s="254"/>
      <x:c r="G6" s="254"/>
      <x:c r="H6" s="254"/>
      <x:c r="I6" s="254"/>
      <x:c r="J6" s="254"/>
      <x:c r="K6" s="254"/>
    </x:row>
    <x:row r="7">
      <x:c r="A7" s="260" t="str">
        <x:v>Market Cap</x:v>
      </x:c>
      <x:c r="B7" s="112" t="n">
        <x:v>391366</x:v>
      </x:c>
      <x:c r="C7" s="261" t="str">
        <x:v>₹ Cr</x:v>
      </x:c>
      <x:c r="D7" s="261" t="str">
        <x:v>18-Sep-2026</x:v>
      </x:c>
      <x:c r="E7" s="262" t="str">
        <x:v>Screener</x:v>
      </x:c>
      <x:c r="F7" s="254"/>
      <x:c r="G7" s="254"/>
      <x:c r="H7" s="254"/>
      <x:c r="I7" s="254"/>
      <x:c r="J7" s="254"/>
      <x:c r="K7" s="254"/>
    </x:row>
    <x:row r="8">
      <x:c r="A8" s="260" t="str">
        <x:v>Stock P/E</x:v>
      </x:c>
      <x:c r="B8" s="114" t="n">
        <x:v>15.2</x:v>
      </x:c>
      <x:c r="C8" s="261" t="str">
        <x:v>x</x:v>
      </x:c>
      <x:c r="D8" s="261" t="str">
        <x:v>18-Sep-2026</x:v>
      </x:c>
      <x:c r="E8" s="262" t="str">
        <x:v>Screener</x:v>
      </x:c>
      <x:c r="F8" s="254"/>
      <x:c r="G8" s="254"/>
      <x:c r="H8" s="254"/>
      <x:c r="I8" s="254"/>
      <x:c r="J8" s="254"/>
      <x:c r="K8" s="254"/>
    </x:row>
    <x:row r="9">
      <x:c r="A9" s="260" t="str">
        <x:v>Screener Book Value / Share</x:v>
      </x:c>
      <x:c r="B9" s="112" t="n">
        <x:v>681</x:v>
      </x:c>
      <x:c r="C9" s="261" t="str">
        <x:v>₹ / share</x:v>
      </x:c>
      <x:c r="D9" s="261" t="str">
        <x:v>18-Sep-2026</x:v>
      </x:c>
      <x:c r="E9" s="262" t="str">
        <x:v>Screener snapshot</x:v>
      </x:c>
      <x:c r="F9" s="254"/>
      <x:c r="G9" s="254"/>
      <x:c r="H9" s="254"/>
      <x:c r="I9" s="254"/>
      <x:c r="J9" s="254"/>
      <x:c r="K9" s="254"/>
    </x:row>
    <x:row r="10">
      <x:c r="A10" s="260" t="str">
        <x:v>Dividend Yield</x:v>
      </x:c>
      <x:c r="B10" s="116" t="n">
        <x:v>0.0008</x:v>
      </x:c>
      <x:c r="C10" s="261" t="str">
        <x:v>%</x:v>
      </x:c>
      <x:c r="D10" s="261" t="str">
        <x:v>18-Sep-2026</x:v>
      </x:c>
      <x:c r="E10" s="262" t="str">
        <x:v>Screener</x:v>
      </x:c>
      <x:c r="F10" s="254"/>
      <x:c r="G10" s="254"/>
      <x:c r="H10" s="254"/>
      <x:c r="I10" s="254"/>
      <x:c r="J10" s="254"/>
      <x:c r="K10" s="254"/>
    </x:row>
    <x:row r="11">
      <x:c r="A11" s="260" t="str">
        <x:v>Common Equity attributable to shareholders</x:v>
      </x:c>
      <x:c r="B11" s="112" t="n">
        <x:v>215035.4</x:v>
      </x:c>
      <x:c r="C11" s="261" t="str">
        <x:v>₹ Cr</x:v>
      </x:c>
      <x:c r="D11" s="261" t="str">
        <x:v>FY26</x:v>
      </x:c>
      <x:c r="E11" s="262" t="str">
        <x:v>Standardized balance sheet / S&amp;P Global dataset</x:v>
      </x:c>
      <x:c r="F11" s="254"/>
      <x:c r="G11" s="254"/>
      <x:c r="H11" s="254"/>
      <x:c r="I11" s="254"/>
      <x:c r="J11" s="254"/>
      <x:c r="K11" s="254"/>
    </x:row>
    <x:row r="12">
      <x:c r="A12" s="260" t="str">
        <x:v>Goodwill</x:v>
      </x:c>
      <x:c r="B12" s="112" t="n">
        <x:v>289.2</x:v>
      </x:c>
      <x:c r="C12" s="261" t="str">
        <x:v>₹ Cr</x:v>
      </x:c>
      <x:c r="D12" s="261" t="str">
        <x:v>FY26</x:v>
      </x:c>
      <x:c r="E12" s="262" t="str">
        <x:v>Standardized balance sheet / S&amp;P Global dataset</x:v>
      </x:c>
      <x:c r="F12" s="254"/>
      <x:c r="G12" s="254"/>
      <x:c r="H12" s="254"/>
      <x:c r="I12" s="254"/>
      <x:c r="J12" s="254"/>
      <x:c r="K12" s="254"/>
    </x:row>
    <x:row r="13">
      <x:c r="A13" s="260" t="str">
        <x:v>Other Intangible Assets</x:v>
      </x:c>
      <x:c r="B13" s="112" t="n">
        <x:v>0.1</x:v>
      </x:c>
      <x:c r="C13" s="261" t="str">
        <x:v>₹ Cr</x:v>
      </x:c>
      <x:c r="D13" s="261" t="str">
        <x:v>FY26</x:v>
      </x:c>
      <x:c r="E13" s="262" t="str">
        <x:v>Derived reconciliation = total intangible adjustment − goodwill; not independently sourced</x:v>
      </x:c>
      <x:c r="F13" s="254"/>
      <x:c r="G13" s="254"/>
      <x:c r="H13" s="254"/>
      <x:c r="I13" s="254"/>
      <x:c r="J13" s="254"/>
      <x:c r="K13" s="254"/>
    </x:row>
    <x:row r="14">
      <x:c r="A14" s="260" t="str">
        <x:v>Tangible Common Equity</x:v>
      </x:c>
      <x:c r="B14" s="112" t="n">
        <x:v>214746.1</x:v>
      </x:c>
      <x:c r="C14" s="261" t="str">
        <x:v>₹ Cr</x:v>
      </x:c>
      <x:c r="D14" s="261" t="str">
        <x:v>FY26</x:v>
      </x:c>
      <x:c r="E14" s="262" t="str">
        <x:v>Common equity less total intangible adjustment</x:v>
      </x:c>
      <x:c r="F14" s="254"/>
      <x:c r="G14" s="254"/>
      <x:c r="H14" s="254"/>
      <x:c r="I14" s="254"/>
      <x:c r="J14" s="254"/>
      <x:c r="K14" s="254"/>
    </x:row>
    <x:row r="15">
      <x:c r="A15" s="260" t="str">
        <x:v>Shares Outstanding</x:v>
      </x:c>
      <x:c r="B15" s="118" t="n">
        <x:v>310.8</x:v>
      </x:c>
      <x:c r="C15" s="261" t="str">
        <x:v>Cr shares</x:v>
      </x:c>
      <x:c r="D15" s="261" t="str">
        <x:v>FY26</x:v>
      </x:c>
      <x:c r="E15" s="262" t="str">
        <x:v>Standardized share count</x:v>
      </x:c>
      <x:c r="F15" s="254"/>
      <x:c r="G15" s="254"/>
      <x:c r="H15" s="254"/>
      <x:c r="I15" s="254"/>
      <x:c r="J15" s="254"/>
      <x:c r="K15" s="254"/>
    </x:row>
    <x:row r="16">
      <x:c r="A16" s="260" t="str">
        <x:v>FY26 ROE</x:v>
      </x:c>
      <x:c r="B16" s="116" t="n">
        <x:v>0.131</x:v>
      </x:c>
      <x:c r="C16" s="261" t="str">
        <x:v>%</x:v>
      </x:c>
      <x:c r="D16" s="261" t="str">
        <x:v>FY26</x:v>
      </x:c>
      <x:c r="E16" s="262" t="str">
        <x:v>Screener / issuer disclosures</x:v>
      </x:c>
      <x:c r="F16" s="254"/>
      <x:c r="G16" s="254"/>
      <x:c r="H16" s="254"/>
      <x:c r="I16" s="254"/>
      <x:c r="J16" s="254"/>
      <x:c r="K16" s="254"/>
    </x:row>
    <x:row r="17">
      <x:c r="A17" s="260" t="str">
        <x:v>Q1 FY27 ROE</x:v>
      </x:c>
      <x:c r="B17" s="116" t="n">
        <x:v>0.1416</x:v>
      </x:c>
      <x:c r="C17" s="261" t="str">
        <x:v>%</x:v>
      </x:c>
      <x:c r="D17" s="261" t="str">
        <x:v>Q1 FY27</x:v>
      </x:c>
      <x:c r="E17" s="262" t="str">
        <x:v>Issuer results</x:v>
      </x:c>
      <x:c r="F17" s="254"/>
      <x:c r="G17" s="254"/>
      <x:c r="H17" s="254"/>
      <x:c r="I17" s="254"/>
      <x:c r="J17" s="254"/>
      <x:c r="K17" s="254"/>
    </x:row>
    <x:row r="18">
      <x:c r="A18" s="260" t="str">
        <x:v>Q1 FY27 ROA</x:v>
      </x:c>
      <x:c r="B18" s="116" t="n">
        <x:v>0.0151</x:v>
      </x:c>
      <x:c r="C18" s="261" t="str">
        <x:v>%</x:v>
      </x:c>
      <x:c r="D18" s="261" t="str">
        <x:v>Q1 FY27</x:v>
      </x:c>
      <x:c r="E18" s="262" t="str">
        <x:v>Issuer results</x:v>
      </x:c>
      <x:c r="F18" s="254"/>
      <x:c r="G18" s="254"/>
      <x:c r="H18" s="254"/>
      <x:c r="I18" s="254"/>
      <x:c r="J18" s="254"/>
      <x:c r="K18" s="254"/>
    </x:row>
    <x:row r="19">
      <x:c r="A19" s="260" t="str">
        <x:v>Q1 FY27 NIM</x:v>
      </x:c>
      <x:c r="B19" s="116" t="n">
        <x:v>0.0346</x:v>
      </x:c>
      <x:c r="C19" s="261" t="str">
        <x:v>%</x:v>
      </x:c>
      <x:c r="D19" s="261" t="str">
        <x:v>Q1 FY27</x:v>
      </x:c>
      <x:c r="E19" s="262" t="str">
        <x:v>Issuer results</x:v>
      </x:c>
      <x:c r="F19" s="254"/>
      <x:c r="G19" s="254"/>
      <x:c r="H19" s="254"/>
      <x:c r="I19" s="254"/>
      <x:c r="J19" s="254"/>
      <x:c r="K19" s="254"/>
    </x:row>
    <x:row r="20">
      <x:c r="A20" s="260" t="str">
        <x:v>Loan Growth YoY</x:v>
      </x:c>
      <x:c r="B20" s="116" t="n">
        <x:v>0.19</x:v>
      </x:c>
      <x:c r="C20" s="261" t="str">
        <x:v>%</x:v>
      </x:c>
      <x:c r="D20" s="261" t="str">
        <x:v>Q1 FY27</x:v>
      </x:c>
      <x:c r="E20" s="262" t="str">
        <x:v>Issuer results</x:v>
      </x:c>
      <x:c r="F20" s="254"/>
      <x:c r="G20" s="254"/>
      <x:c r="H20" s="254"/>
      <x:c r="I20" s="254"/>
      <x:c r="J20" s="254"/>
      <x:c r="K20" s="254"/>
    </x:row>
    <x:row r="21">
      <x:c r="A21" s="260" t="str">
        <x:v>Deposit Growth YoY</x:v>
      </x:c>
      <x:c r="B21" s="116" t="n">
        <x:v>0.18</x:v>
      </x:c>
      <x:c r="C21" s="261" t="str">
        <x:v>%</x:v>
      </x:c>
      <x:c r="D21" s="261" t="str">
        <x:v>Q1 FY27</x:v>
      </x:c>
      <x:c r="E21" s="262" t="str">
        <x:v>Issuer results</x:v>
      </x:c>
      <x:c r="F21" s="254"/>
      <x:c r="G21" s="254"/>
      <x:c r="H21" s="254"/>
      <x:c r="I21" s="254"/>
      <x:c r="J21" s="254"/>
      <x:c r="K21" s="254"/>
    </x:row>
    <x:row r="22">
      <x:c r="A22" s="260" t="str">
        <x:v>GNPA</x:v>
      </x:c>
      <x:c r="B22" s="116" t="n">
        <x:v>0.0128</x:v>
      </x:c>
      <x:c r="C22" s="261" t="str">
        <x:v>%</x:v>
      </x:c>
      <x:c r="D22" s="261" t="str">
        <x:v>Q1 FY27</x:v>
      </x:c>
      <x:c r="E22" s="262" t="str">
        <x:v>Issuer results</x:v>
      </x:c>
      <x:c r="F22" s="254"/>
      <x:c r="G22" s="254"/>
      <x:c r="H22" s="254"/>
      <x:c r="I22" s="254"/>
      <x:c r="J22" s="254"/>
      <x:c r="K22" s="254"/>
    </x:row>
    <x:row r="23">
      <x:c r="A23" s="260" t="str">
        <x:v>NNPA</x:v>
      </x:c>
      <x:c r="B23" s="116" t="n">
        <x:v>0.0039</x:v>
      </x:c>
      <x:c r="C23" s="261" t="str">
        <x:v>%</x:v>
      </x:c>
      <x:c r="D23" s="261" t="str">
        <x:v>Q1 FY27</x:v>
      </x:c>
      <x:c r="E23" s="262" t="str">
        <x:v>Issuer results</x:v>
      </x:c>
      <x:c r="F23" s="254"/>
      <x:c r="G23" s="254"/>
      <x:c r="H23" s="254"/>
      <x:c r="I23" s="254"/>
      <x:c r="J23" s="254"/>
      <x:c r="K23" s="254"/>
    </x:row>
    <x:row r="24">
      <x:c r="A24" s="260" t="str">
        <x:v>CET1</x:v>
      </x:c>
      <x:c r="B24" s="116" t="n">
        <x:v>0.1464</x:v>
      </x:c>
      <x:c r="C24" s="261" t="str">
        <x:v>%</x:v>
      </x:c>
      <x:c r="D24" s="261" t="str">
        <x:v>Q1 FY27</x:v>
      </x:c>
      <x:c r="E24" s="262" t="str">
        <x:v>Issuer results</x:v>
      </x:c>
      <x:c r="F24" s="254"/>
      <x:c r="G24" s="254"/>
      <x:c r="H24" s="254"/>
      <x:c r="I24" s="254"/>
      <x:c r="J24" s="254"/>
      <x:c r="K24" s="254"/>
    </x:row>
    <x:row r="25">
      <x:c r="A25" s="260" t="str">
        <x:v>CASA</x:v>
      </x:c>
      <x:c r="B25" s="116" t="n">
        <x:v>0.38</x:v>
      </x:c>
      <x:c r="C25" s="261" t="str">
        <x:v>%</x:v>
      </x:c>
      <x:c r="D25" s="261" t="str">
        <x:v>Q1 FY27</x:v>
      </x:c>
      <x:c r="E25" s="262" t="str">
        <x:v>Issuer results</x:v>
      </x:c>
      <x:c r="F25" s="254"/>
      <x:c r="G25" s="254"/>
      <x:c r="H25" s="254"/>
      <x:c r="I25" s="254"/>
      <x:c r="J25" s="254"/>
      <x:c r="K25" s="254"/>
    </x:row>
    <x:row r="26">
      <x:c r="A26" s="260" t="str">
        <x:v>Tangibility Check — Total Intangible Adjustment</x:v>
      </x:c>
      <x:c r="B26" s="112" t="n">
        <x:v>289.29999999998836</x:v>
      </x:c>
      <x:c r="C26" s="261" t="str">
        <x:v>₹ Cr</x:v>
      </x:c>
      <x:c r="D26" s="261" t="str">
        <x:v>FY26</x:v>
      </x:c>
      <x:c r="E26" s="262" t="str">
        <x:v>Common Equity − Tangible Common Equity</x:v>
      </x:c>
      <x:c r="F26" s="254"/>
      <x:c r="G26" s="254"/>
      <x:c r="H26" s="254"/>
      <x:c r="I26" s="254"/>
      <x:c r="J26" s="254"/>
      <x:c r="K26" s="254"/>
    </x:row>
    <x:row r="27">
      <x:c r="A27" s="260"/>
      <x:c r="B27" s="261"/>
      <x:c r="C27" s="261"/>
      <x:c r="D27" s="261"/>
      <x:c r="E27" s="262"/>
      <x:c r="F27" s="254"/>
      <x:c r="G27" s="254"/>
      <x:c r="H27" s="254"/>
      <x:c r="I27" s="254"/>
      <x:c r="J27" s="254"/>
      <x:c r="K27" s="254"/>
    </x:row>
    <x:row r="28" ht="30" customHeight="1">
      <x:c r="A28" s="82" t="str">
        <x:v>Sources: Market = https://www.screener.in/company/532215/ | Results = https://www.axisbank.com/shareholders-corner/financial-results | Tangible book = standardized balance-sheet / S&amp;P Global dataset</x:v>
      </x:c>
      <x:c r="B28" s="83"/>
      <x:c r="C28" s="83"/>
      <x:c r="D28" s="83"/>
      <x:c r="E28" s="84"/>
      <x:c r="F28" s="254"/>
      <x:c r="G28" s="254"/>
      <x:c r="H28" s="254"/>
      <x:c r="I28" s="254"/>
      <x:c r="J28" s="254"/>
      <x:c r="K28" s="254"/>
    </x:row>
    <x:row r="29">
      <x:c r="A29" s="260"/>
      <x:c r="B29" s="261"/>
      <x:c r="C29" s="261"/>
      <x:c r="D29" s="261"/>
      <x:c r="E29" s="262"/>
      <x:c r="F29" s="254"/>
      <x:c r="G29" s="254"/>
      <x:c r="H29" s="254"/>
      <x:c r="I29" s="254"/>
      <x:c r="J29" s="254"/>
      <x:c r="K29" s="254"/>
    </x:row>
    <x:row r="30" ht="21" customHeight="1">
      <x:c r="A30" s="76" t="str">
        <x:v>HDFC BANK (HDFCBANK)</x:v>
      </x:c>
      <x:c r="B30" s="77"/>
      <x:c r="C30" s="77"/>
      <x:c r="D30" s="77"/>
      <x:c r="E30" s="78"/>
      <x:c r="F30" s="254"/>
      <x:c r="G30" s="254"/>
      <x:c r="H30" s="254"/>
      <x:c r="I30" s="254"/>
      <x:c r="J30" s="254"/>
      <x:c r="K30" s="254"/>
    </x:row>
    <x:row r="31" ht="32" customHeight="1">
      <x:c r="A31" s="79" t="str">
        <x:v>Metric</x:v>
      </x:c>
      <x:c r="B31" s="80" t="str">
        <x:v>Value</x:v>
      </x:c>
      <x:c r="C31" s="80" t="str">
        <x:v>Unit</x:v>
      </x:c>
      <x:c r="D31" s="80" t="str">
        <x:v>Period</x:v>
      </x:c>
      <x:c r="E31" s="81" t="str">
        <x:v>Source / Note</x:v>
      </x:c>
      <x:c r="F31" s="254"/>
      <x:c r="G31" s="254"/>
      <x:c r="H31" s="254"/>
      <x:c r="I31" s="254"/>
      <x:c r="J31" s="254"/>
      <x:c r="K31" s="254"/>
    </x:row>
    <x:row r="32">
      <x:c r="A32" s="260" t="str">
        <x:v>Share Price</x:v>
      </x:c>
      <x:c r="B32" s="112" t="n">
        <x:v>729</x:v>
      </x:c>
      <x:c r="C32" s="261" t="str">
        <x:v>₹ / share</x:v>
      </x:c>
      <x:c r="D32" s="261" t="str">
        <x:v>18-Sep-2026</x:v>
      </x:c>
      <x:c r="E32" s="262" t="str">
        <x:v>Screener</x:v>
      </x:c>
      <x:c r="F32" s="254"/>
      <x:c r="G32" s="254"/>
      <x:c r="H32" s="254"/>
      <x:c r="I32" s="254"/>
      <x:c r="J32" s="254"/>
      <x:c r="K32" s="254"/>
    </x:row>
    <x:row r="33">
      <x:c r="A33" s="260" t="str">
        <x:v>Market Cap</x:v>
      </x:c>
      <x:c r="B33" s="112" t="n">
        <x:v>1124032</x:v>
      </x:c>
      <x:c r="C33" s="261" t="str">
        <x:v>₹ Cr</x:v>
      </x:c>
      <x:c r="D33" s="261" t="str">
        <x:v>18-Sep-2026</x:v>
      </x:c>
      <x:c r="E33" s="262" t="str">
        <x:v>Screener</x:v>
      </x:c>
      <x:c r="F33" s="254"/>
      <x:c r="G33" s="254"/>
      <x:c r="H33" s="254"/>
      <x:c r="I33" s="254"/>
      <x:c r="J33" s="254"/>
      <x:c r="K33" s="254"/>
    </x:row>
    <x:row r="34">
      <x:c r="A34" s="260" t="str">
        <x:v>Stock P/E</x:v>
      </x:c>
      <x:c r="B34" s="114" t="n">
        <x:v>14.9</x:v>
      </x:c>
      <x:c r="C34" s="261" t="str">
        <x:v>x</x:v>
      </x:c>
      <x:c r="D34" s="261" t="str">
        <x:v>18-Sep-2026</x:v>
      </x:c>
      <x:c r="E34" s="262" t="str">
        <x:v>Screener</x:v>
      </x:c>
      <x:c r="F34" s="254"/>
      <x:c r="G34" s="254"/>
      <x:c r="H34" s="254"/>
      <x:c r="I34" s="254"/>
      <x:c r="J34" s="254"/>
      <x:c r="K34" s="254"/>
    </x:row>
    <x:row r="35">
      <x:c r="A35" s="260" t="str">
        <x:v>Screener Book Value / Share</x:v>
      </x:c>
      <x:c r="B35" s="112" t="n">
        <x:v>375</x:v>
      </x:c>
      <x:c r="C35" s="261" t="str">
        <x:v>₹ / share</x:v>
      </x:c>
      <x:c r="D35" s="261" t="str">
        <x:v>18-Sep-2026</x:v>
      </x:c>
      <x:c r="E35" s="262" t="str">
        <x:v>Screener snapshot</x:v>
      </x:c>
      <x:c r="F35" s="254"/>
      <x:c r="G35" s="254"/>
      <x:c r="H35" s="254"/>
      <x:c r="I35" s="254"/>
      <x:c r="J35" s="254"/>
      <x:c r="K35" s="254"/>
    </x:row>
    <x:row r="36">
      <x:c r="A36" s="260" t="str">
        <x:v>Dividend Yield</x:v>
      </x:c>
      <x:c r="B36" s="116" t="n">
        <x:v>0.0178</x:v>
      </x:c>
      <x:c r="C36" s="261" t="str">
        <x:v>%</x:v>
      </x:c>
      <x:c r="D36" s="261" t="str">
        <x:v>18-Sep-2026</x:v>
      </x:c>
      <x:c r="E36" s="262" t="str">
        <x:v>Screener</x:v>
      </x:c>
      <x:c r="F36" s="254"/>
      <x:c r="G36" s="254"/>
      <x:c r="H36" s="254"/>
      <x:c r="I36" s="254"/>
      <x:c r="J36" s="254"/>
      <x:c r="K36" s="254"/>
    </x:row>
    <x:row r="37">
      <x:c r="A37" s="260" t="str">
        <x:v>Common Equity attributable to shareholders</x:v>
      </x:c>
      <x:c r="B37" s="112" t="n">
        <x:v>586059.5</x:v>
      </x:c>
      <x:c r="C37" s="261" t="str">
        <x:v>₹ Cr</x:v>
      </x:c>
      <x:c r="D37" s="261" t="str">
        <x:v>FY26</x:v>
      </x:c>
      <x:c r="E37" s="262" t="str">
        <x:v>Standardized balance sheet / S&amp;P Global dataset</x:v>
      </x:c>
      <x:c r="F37" s="254"/>
      <x:c r="G37" s="254"/>
      <x:c r="H37" s="254"/>
      <x:c r="I37" s="254"/>
      <x:c r="J37" s="254"/>
      <x:c r="K37" s="254"/>
    </x:row>
    <x:row r="38">
      <x:c r="A38" s="260" t="str">
        <x:v>Goodwill</x:v>
      </x:c>
      <x:c r="B38" s="112" t="n">
        <x:v>0</x:v>
      </x:c>
      <x:c r="C38" s="261" t="str">
        <x:v>₹ Cr</x:v>
      </x:c>
      <x:c r="D38" s="261" t="str">
        <x:v>FY26</x:v>
      </x:c>
      <x:c r="E38" s="262" t="str">
        <x:v>Standardized balance sheet / S&amp;P Global dataset</x:v>
      </x:c>
      <x:c r="F38" s="254"/>
      <x:c r="G38" s="254"/>
      <x:c r="H38" s="254"/>
      <x:c r="I38" s="254"/>
      <x:c r="J38" s="254"/>
      <x:c r="K38" s="254"/>
    </x:row>
    <x:row r="39">
      <x:c r="A39" s="260" t="str">
        <x:v>Other Intangible Assets</x:v>
      </x:c>
      <x:c r="B39" s="112" t="n">
        <x:v>0</x:v>
      </x:c>
      <x:c r="C39" s="261" t="str">
        <x:v>₹ Cr</x:v>
      </x:c>
      <x:c r="D39" s="261" t="str">
        <x:v>FY26</x:v>
      </x:c>
      <x:c r="E39" s="262" t="str">
        <x:v>Not separately captured in standardized source</x:v>
      </x:c>
      <x:c r="F39" s="254"/>
      <x:c r="G39" s="254"/>
      <x:c r="H39" s="254"/>
      <x:c r="I39" s="254"/>
      <x:c r="J39" s="254"/>
      <x:c r="K39" s="254"/>
    </x:row>
    <x:row r="40">
      <x:c r="A40" s="260" t="str">
        <x:v>Tangible Common Equity</x:v>
      </x:c>
      <x:c r="B40" s="112" t="n">
        <x:v>586059.5</x:v>
      </x:c>
      <x:c r="C40" s="261" t="str">
        <x:v>₹ Cr</x:v>
      </x:c>
      <x:c r="D40" s="261" t="str">
        <x:v>FY26</x:v>
      </x:c>
      <x:c r="E40" s="262" t="str">
        <x:v>Common equity less total intangible adjustment</x:v>
      </x:c>
      <x:c r="F40" s="254"/>
      <x:c r="G40" s="254"/>
      <x:c r="H40" s="254"/>
      <x:c r="I40" s="254"/>
      <x:c r="J40" s="254"/>
      <x:c r="K40" s="254"/>
    </x:row>
    <x:row r="41">
      <x:c r="A41" s="260" t="str">
        <x:v>Shares Outstanding</x:v>
      </x:c>
      <x:c r="B41" s="118" t="n">
        <x:v>1539.3</x:v>
      </x:c>
      <x:c r="C41" s="261" t="str">
        <x:v>Cr shares</x:v>
      </x:c>
      <x:c r="D41" s="261" t="str">
        <x:v>FY26</x:v>
      </x:c>
      <x:c r="E41" s="262" t="str">
        <x:v>Standardized share count</x:v>
      </x:c>
      <x:c r="F41" s="254"/>
      <x:c r="G41" s="254"/>
      <x:c r="H41" s="254"/>
      <x:c r="I41" s="254"/>
      <x:c r="J41" s="254"/>
      <x:c r="K41" s="254"/>
    </x:row>
    <x:row r="42">
      <x:c r="A42" s="260" t="str">
        <x:v>FY26 ROE</x:v>
      </x:c>
      <x:c r="B42" s="116" t="n">
        <x:v>0.14</x:v>
      </x:c>
      <x:c r="C42" s="261" t="str">
        <x:v>%</x:v>
      </x:c>
      <x:c r="D42" s="261" t="str">
        <x:v>FY26</x:v>
      </x:c>
      <x:c r="E42" s="262" t="str">
        <x:v>Screener / issuer disclosures</x:v>
      </x:c>
      <x:c r="F42" s="254"/>
      <x:c r="G42" s="254"/>
      <x:c r="H42" s="254"/>
      <x:c r="I42" s="254"/>
      <x:c r="J42" s="254"/>
      <x:c r="K42" s="254"/>
    </x:row>
    <x:row r="43">
      <x:c r="A43" s="260" t="str">
        <x:v>Q1 FY27 ROE</x:v>
      </x:c>
      <x:c r="B43" s="116" t="n">
        <x:v>0.138</x:v>
      </x:c>
      <x:c r="C43" s="261" t="str">
        <x:v>%</x:v>
      </x:c>
      <x:c r="D43" s="261" t="str">
        <x:v>Q1 FY27</x:v>
      </x:c>
      <x:c r="E43" s="262" t="str">
        <x:v>Issuer results</x:v>
      </x:c>
      <x:c r="F43" s="254"/>
      <x:c r="G43" s="254"/>
      <x:c r="H43" s="254"/>
      <x:c r="I43" s="254"/>
      <x:c r="J43" s="254"/>
      <x:c r="K43" s="254"/>
    </x:row>
    <x:row r="44">
      <x:c r="A44" s="260" t="str">
        <x:v>Q1 FY27 ROA</x:v>
      </x:c>
      <x:c r="B44" s="116" t="n">
        <x:v>0.0185</x:v>
      </x:c>
      <x:c r="C44" s="261" t="str">
        <x:v>%</x:v>
      </x:c>
      <x:c r="D44" s="261" t="str">
        <x:v>Q1 FY27</x:v>
      </x:c>
      <x:c r="E44" s="262" t="str">
        <x:v>Issuer results</x:v>
      </x:c>
      <x:c r="F44" s="254"/>
      <x:c r="G44" s="254"/>
      <x:c r="H44" s="254"/>
      <x:c r="I44" s="254"/>
      <x:c r="J44" s="254"/>
      <x:c r="K44" s="254"/>
    </x:row>
    <x:row r="45">
      <x:c r="A45" s="260" t="str">
        <x:v>Q1 FY27 NIM</x:v>
      </x:c>
      <x:c r="B45" s="116" t="n">
        <x:v>0.034</x:v>
      </x:c>
      <x:c r="C45" s="261" t="str">
        <x:v>%</x:v>
      </x:c>
      <x:c r="D45" s="261" t="str">
        <x:v>Q1 FY27</x:v>
      </x:c>
      <x:c r="E45" s="262" t="str">
        <x:v>Issuer results</x:v>
      </x:c>
      <x:c r="F45" s="254"/>
      <x:c r="G45" s="254"/>
      <x:c r="H45" s="254"/>
      <x:c r="I45" s="254"/>
      <x:c r="J45" s="254"/>
      <x:c r="K45" s="254"/>
    </x:row>
    <x:row r="46">
      <x:c r="A46" s="260" t="str">
        <x:v>Loan Growth YoY</x:v>
      </x:c>
      <x:c r="B46" s="116" t="n">
        <x:v>0.154</x:v>
      </x:c>
      <x:c r="C46" s="261" t="str">
        <x:v>%</x:v>
      </x:c>
      <x:c r="D46" s="261" t="str">
        <x:v>Q1 FY27</x:v>
      </x:c>
      <x:c r="E46" s="262" t="str">
        <x:v>Issuer results</x:v>
      </x:c>
      <x:c r="F46" s="254"/>
      <x:c r="G46" s="254"/>
      <x:c r="H46" s="254"/>
      <x:c r="I46" s="254"/>
      <x:c r="J46" s="254"/>
      <x:c r="K46" s="254"/>
    </x:row>
    <x:row r="47">
      <x:c r="A47" s="260" t="str">
        <x:v>Deposit Growth YoY</x:v>
      </x:c>
      <x:c r="B47" s="116" t="n">
        <x:v>0.147</x:v>
      </x:c>
      <x:c r="C47" s="261" t="str">
        <x:v>%</x:v>
      </x:c>
      <x:c r="D47" s="261" t="str">
        <x:v>Q1 FY27</x:v>
      </x:c>
      <x:c r="E47" s="262" t="str">
        <x:v>Issuer results</x:v>
      </x:c>
      <x:c r="F47" s="254"/>
      <x:c r="G47" s="254"/>
      <x:c r="H47" s="254"/>
      <x:c r="I47" s="254"/>
      <x:c r="J47" s="254"/>
      <x:c r="K47" s="254"/>
    </x:row>
    <x:row r="48">
      <x:c r="A48" s="260" t="str">
        <x:v>GNPA</x:v>
      </x:c>
      <x:c r="B48" s="116" t="n">
        <x:v>0.0117</x:v>
      </x:c>
      <x:c r="C48" s="261" t="str">
        <x:v>%</x:v>
      </x:c>
      <x:c r="D48" s="261" t="str">
        <x:v>Q1 FY27</x:v>
      </x:c>
      <x:c r="E48" s="262" t="str">
        <x:v>Issuer results</x:v>
      </x:c>
      <x:c r="F48" s="254"/>
      <x:c r="G48" s="254"/>
      <x:c r="H48" s="254"/>
      <x:c r="I48" s="254"/>
      <x:c r="J48" s="254"/>
      <x:c r="K48" s="254"/>
    </x:row>
    <x:row r="49">
      <x:c r="A49" s="260" t="str">
        <x:v>NNPA</x:v>
      </x:c>
      <x:c r="B49" s="116" t="n">
        <x:v>0.0041</x:v>
      </x:c>
      <x:c r="C49" s="261" t="str">
        <x:v>%</x:v>
      </x:c>
      <x:c r="D49" s="261" t="str">
        <x:v>Q1 FY27</x:v>
      </x:c>
      <x:c r="E49" s="262" t="str">
        <x:v>Issuer results</x:v>
      </x:c>
      <x:c r="F49" s="254"/>
      <x:c r="G49" s="254"/>
      <x:c r="H49" s="254"/>
      <x:c r="I49" s="254"/>
      <x:c r="J49" s="254"/>
      <x:c r="K49" s="254"/>
    </x:row>
    <x:row r="50">
      <x:c r="A50" s="260" t="str">
        <x:v>CET1</x:v>
      </x:c>
      <x:c r="B50" s="116" t="n">
        <x:v>0.174</x:v>
      </x:c>
      <x:c r="C50" s="261" t="str">
        <x:v>%</x:v>
      </x:c>
      <x:c r="D50" s="261" t="str">
        <x:v>Q1 FY27</x:v>
      </x:c>
      <x:c r="E50" s="262" t="str">
        <x:v>Issuer results</x:v>
      </x:c>
      <x:c r="F50" s="254"/>
      <x:c r="G50" s="254"/>
      <x:c r="H50" s="254"/>
      <x:c r="I50" s="254"/>
      <x:c r="J50" s="254"/>
      <x:c r="K50" s="254"/>
    </x:row>
    <x:row r="51">
      <x:c r="A51" s="260" t="str">
        <x:v>CASA</x:v>
      </x:c>
      <x:c r="B51" s="116" t="n">
        <x:v>0.323</x:v>
      </x:c>
      <x:c r="C51" s="261" t="str">
        <x:v>%</x:v>
      </x:c>
      <x:c r="D51" s="261" t="str">
        <x:v>Q1 FY27</x:v>
      </x:c>
      <x:c r="E51" s="262" t="str">
        <x:v>Issuer results</x:v>
      </x:c>
      <x:c r="F51" s="254"/>
      <x:c r="G51" s="254"/>
      <x:c r="H51" s="254"/>
      <x:c r="I51" s="254"/>
      <x:c r="J51" s="254"/>
      <x:c r="K51" s="254"/>
    </x:row>
    <x:row r="52">
      <x:c r="A52" s="260" t="str">
        <x:v>Tangibility Check — Total Intangible Adjustment</x:v>
      </x:c>
      <x:c r="B52" s="112" t="n">
        <x:v>0</x:v>
      </x:c>
      <x:c r="C52" s="261" t="str">
        <x:v>₹ Cr</x:v>
      </x:c>
      <x:c r="D52" s="261" t="str">
        <x:v>FY26</x:v>
      </x:c>
      <x:c r="E52" s="262" t="str">
        <x:v>Common Equity − Tangible Common Equity</x:v>
      </x:c>
      <x:c r="F52" s="254"/>
      <x:c r="G52" s="254"/>
      <x:c r="H52" s="254"/>
      <x:c r="I52" s="254"/>
      <x:c r="J52" s="254"/>
      <x:c r="K52" s="254"/>
    </x:row>
    <x:row r="53">
      <x:c r="A53" s="260"/>
      <x:c r="B53" s="261"/>
      <x:c r="C53" s="261"/>
      <x:c r="D53" s="261"/>
      <x:c r="E53" s="262"/>
      <x:c r="F53" s="254"/>
      <x:c r="G53" s="254"/>
      <x:c r="H53" s="254"/>
      <x:c r="I53" s="254"/>
      <x:c r="J53" s="254"/>
      <x:c r="K53" s="254"/>
    </x:row>
    <x:row r="54" ht="30" customHeight="1">
      <x:c r="A54" s="82" t="str">
        <x:v>Sources: Market = https://www.screener.in/company/HDFCBANK/ | Results = https://www.hdfc.bank.in/about-us/investor-relations/financial-results | Tangible book = standardized balance-sheet / S&amp;P Global dataset</x:v>
      </x:c>
      <x:c r="B54" s="83"/>
      <x:c r="C54" s="83"/>
      <x:c r="D54" s="83"/>
      <x:c r="E54" s="84"/>
      <x:c r="F54" s="254"/>
      <x:c r="G54" s="254"/>
      <x:c r="H54" s="254"/>
      <x:c r="I54" s="254"/>
      <x:c r="J54" s="254"/>
      <x:c r="K54" s="254"/>
    </x:row>
    <x:row r="55">
      <x:c r="A55" s="260"/>
      <x:c r="B55" s="261"/>
      <x:c r="C55" s="261"/>
      <x:c r="D55" s="261"/>
      <x:c r="E55" s="262"/>
      <x:c r="F55" s="254"/>
      <x:c r="G55" s="254"/>
      <x:c r="H55" s="254"/>
      <x:c r="I55" s="254"/>
      <x:c r="J55" s="254"/>
      <x:c r="K55" s="254"/>
    </x:row>
    <x:row r="56" ht="21" customHeight="1">
      <x:c r="A56" s="76" t="str">
        <x:v>ICICI BANK (ICICIBANK)</x:v>
      </x:c>
      <x:c r="B56" s="77"/>
      <x:c r="C56" s="77"/>
      <x:c r="D56" s="77"/>
      <x:c r="E56" s="78"/>
      <x:c r="F56" s="254"/>
      <x:c r="G56" s="254"/>
      <x:c r="H56" s="254"/>
      <x:c r="I56" s="254"/>
      <x:c r="J56" s="254"/>
      <x:c r="K56" s="254"/>
    </x:row>
    <x:row r="57" ht="32" customHeight="1">
      <x:c r="A57" s="79" t="str">
        <x:v>Metric</x:v>
      </x:c>
      <x:c r="B57" s="80" t="str">
        <x:v>Value</x:v>
      </x:c>
      <x:c r="C57" s="80" t="str">
        <x:v>Unit</x:v>
      </x:c>
      <x:c r="D57" s="80" t="str">
        <x:v>Period</x:v>
      </x:c>
      <x:c r="E57" s="81" t="str">
        <x:v>Source / Note</x:v>
      </x:c>
      <x:c r="F57" s="254"/>
      <x:c r="G57" s="254"/>
      <x:c r="H57" s="254"/>
      <x:c r="I57" s="254"/>
      <x:c r="J57" s="254"/>
      <x:c r="K57" s="254"/>
    </x:row>
    <x:row r="58">
      <x:c r="A58" s="260" t="str">
        <x:v>Share Price</x:v>
      </x:c>
      <x:c r="B58" s="112" t="n">
        <x:v>1339</x:v>
      </x:c>
      <x:c r="C58" s="261" t="str">
        <x:v>₹ / share</x:v>
      </x:c>
      <x:c r="D58" s="261" t="str">
        <x:v>18-Sep-2026</x:v>
      </x:c>
      <x:c r="E58" s="262" t="str">
        <x:v>Screener</x:v>
      </x:c>
      <x:c r="F58" s="254"/>
      <x:c r="G58" s="254"/>
      <x:c r="H58" s="254"/>
      <x:c r="I58" s="254"/>
      <x:c r="J58" s="254"/>
      <x:c r="K58" s="254"/>
    </x:row>
    <x:row r="59">
      <x:c r="A59" s="260" t="str">
        <x:v>Market Cap</x:v>
      </x:c>
      <x:c r="B59" s="112" t="n">
        <x:v>961076</x:v>
      </x:c>
      <x:c r="C59" s="261" t="str">
        <x:v>₹ Cr</x:v>
      </x:c>
      <x:c r="D59" s="261" t="str">
        <x:v>18-Sep-2026</x:v>
      </x:c>
      <x:c r="E59" s="262" t="str">
        <x:v>Screener</x:v>
      </x:c>
      <x:c r="F59" s="254"/>
      <x:c r="G59" s="254"/>
      <x:c r="H59" s="254"/>
      <x:c r="I59" s="254"/>
      <x:c r="J59" s="254"/>
      <x:c r="K59" s="254"/>
    </x:row>
    <x:row r="60">
      <x:c r="A60" s="260" t="str">
        <x:v>Stock P/E</x:v>
      </x:c>
      <x:c r="B60" s="114" t="n">
        <x:v>18.4</x:v>
      </x:c>
      <x:c r="C60" s="261" t="str">
        <x:v>x</x:v>
      </x:c>
      <x:c r="D60" s="261" t="str">
        <x:v>18-Sep-2026</x:v>
      </x:c>
      <x:c r="E60" s="262" t="str">
        <x:v>Screener</x:v>
      </x:c>
      <x:c r="F60" s="254"/>
      <x:c r="G60" s="254"/>
      <x:c r="H60" s="254"/>
      <x:c r="I60" s="254"/>
      <x:c r="J60" s="254"/>
      <x:c r="K60" s="254"/>
    </x:row>
    <x:row r="61">
      <x:c r="A61" s="260" t="str">
        <x:v>Screener Book Value / Share</x:v>
      </x:c>
      <x:c r="B61" s="112" t="n">
        <x:v>489</x:v>
      </x:c>
      <x:c r="C61" s="261" t="str">
        <x:v>₹ / share</x:v>
      </x:c>
      <x:c r="D61" s="261" t="str">
        <x:v>18-Sep-2026</x:v>
      </x:c>
      <x:c r="E61" s="262" t="str">
        <x:v>Screener snapshot</x:v>
      </x:c>
      <x:c r="F61" s="254"/>
      <x:c r="G61" s="254"/>
      <x:c r="H61" s="254"/>
      <x:c r="I61" s="254"/>
      <x:c r="J61" s="254"/>
      <x:c r="K61" s="254"/>
    </x:row>
    <x:row r="62">
      <x:c r="A62" s="260" t="str">
        <x:v>Dividend Yield</x:v>
      </x:c>
      <x:c r="B62" s="116" t="n">
        <x:v>0.009</x:v>
      </x:c>
      <x:c r="C62" s="261" t="str">
        <x:v>%</x:v>
      </x:c>
      <x:c r="D62" s="261" t="str">
        <x:v>18-Sep-2026</x:v>
      </x:c>
      <x:c r="E62" s="262" t="str">
        <x:v>Screener</x:v>
      </x:c>
      <x:c r="F62" s="254"/>
      <x:c r="G62" s="254"/>
      <x:c r="H62" s="254"/>
      <x:c r="I62" s="254"/>
      <x:c r="J62" s="254"/>
      <x:c r="K62" s="254"/>
    </x:row>
    <x:row r="63">
      <x:c r="A63" s="260" t="str">
        <x:v>Common Equity attributable to shareholders</x:v>
      </x:c>
      <x:c r="B63" s="112" t="n">
        <x:v>363060.4</x:v>
      </x:c>
      <x:c r="C63" s="261" t="str">
        <x:v>₹ Cr</x:v>
      </x:c>
      <x:c r="D63" s="261" t="str">
        <x:v>FY26</x:v>
      </x:c>
      <x:c r="E63" s="262" t="str">
        <x:v>Standardized balance sheet / S&amp;P Global dataset</x:v>
      </x:c>
      <x:c r="F63" s="254"/>
      <x:c r="G63" s="254"/>
      <x:c r="H63" s="254"/>
      <x:c r="I63" s="254"/>
      <x:c r="J63" s="254"/>
      <x:c r="K63" s="254"/>
    </x:row>
    <x:row r="64">
      <x:c r="A64" s="260" t="str">
        <x:v>Goodwill</x:v>
      </x:c>
      <x:c r="B64" s="112" t="n">
        <x:v>10550.1</x:v>
      </x:c>
      <x:c r="C64" s="261" t="str">
        <x:v>₹ Cr</x:v>
      </x:c>
      <x:c r="D64" s="261" t="str">
        <x:v>FY26</x:v>
      </x:c>
      <x:c r="E64" s="262" t="str">
        <x:v>Standardized balance sheet / S&amp;P Global dataset</x:v>
      </x:c>
      <x:c r="F64" s="254"/>
      <x:c r="G64" s="254"/>
      <x:c r="H64" s="254"/>
      <x:c r="I64" s="254"/>
      <x:c r="J64" s="254"/>
      <x:c r="K64" s="254"/>
    </x:row>
    <x:row r="65">
      <x:c r="A65" s="260" t="str">
        <x:v>Other Intangible Assets</x:v>
      </x:c>
      <x:c r="B65" s="112" t="n">
        <x:v>0</x:v>
      </x:c>
      <x:c r="C65" s="261" t="str">
        <x:v>₹ Cr</x:v>
      </x:c>
      <x:c r="D65" s="261" t="str">
        <x:v>FY26</x:v>
      </x:c>
      <x:c r="E65" s="262" t="str">
        <x:v>Not separately captured in standardized source</x:v>
      </x:c>
      <x:c r="F65" s="254"/>
      <x:c r="G65" s="254"/>
      <x:c r="H65" s="254"/>
      <x:c r="I65" s="254"/>
      <x:c r="J65" s="254"/>
      <x:c r="K65" s="254"/>
    </x:row>
    <x:row r="66">
      <x:c r="A66" s="260" t="str">
        <x:v>Tangible Common Equity</x:v>
      </x:c>
      <x:c r="B66" s="112" t="n">
        <x:v>352510.3</x:v>
      </x:c>
      <x:c r="C66" s="261" t="str">
        <x:v>₹ Cr</x:v>
      </x:c>
      <x:c r="D66" s="261" t="str">
        <x:v>FY26</x:v>
      </x:c>
      <x:c r="E66" s="262" t="str">
        <x:v>Common equity less total intangible adjustment</x:v>
      </x:c>
      <x:c r="F66" s="254"/>
      <x:c r="G66" s="254"/>
      <x:c r="H66" s="254"/>
      <x:c r="I66" s="254"/>
      <x:c r="J66" s="254"/>
      <x:c r="K66" s="254"/>
    </x:row>
    <x:row r="67">
      <x:c r="A67" s="260" t="str">
        <x:v>Shares Outstanding</x:v>
      </x:c>
      <x:c r="B67" s="118" t="n">
        <x:v>716</x:v>
      </x:c>
      <x:c r="C67" s="261" t="str">
        <x:v>Cr shares</x:v>
      </x:c>
      <x:c r="D67" s="261" t="str">
        <x:v>FY26</x:v>
      </x:c>
      <x:c r="E67" s="262" t="str">
        <x:v>Standardized share count</x:v>
      </x:c>
      <x:c r="F67" s="254"/>
      <x:c r="G67" s="254"/>
      <x:c r="H67" s="254"/>
      <x:c r="I67" s="254"/>
      <x:c r="J67" s="254"/>
      <x:c r="K67" s="254"/>
    </x:row>
    <x:row r="68">
      <x:c r="A68" s="260" t="str">
        <x:v>FY26 ROE</x:v>
      </x:c>
      <x:c r="B68" s="116" t="n">
        <x:v>0.158</x:v>
      </x:c>
      <x:c r="C68" s="261" t="str">
        <x:v>%</x:v>
      </x:c>
      <x:c r="D68" s="261" t="str">
        <x:v>FY26</x:v>
      </x:c>
      <x:c r="E68" s="262" t="str">
        <x:v>Screener / issuer disclosures</x:v>
      </x:c>
      <x:c r="F68" s="254"/>
      <x:c r="G68" s="254"/>
      <x:c r="H68" s="254"/>
      <x:c r="I68" s="254"/>
      <x:c r="J68" s="254"/>
      <x:c r="K68" s="254"/>
    </x:row>
    <x:row r="69">
      <x:c r="A69" s="260" t="str">
        <x:v>Q1 FY27 ROE</x:v>
      </x:c>
      <x:c r="B69" s="116" t="n">
        <x:v>0.1714</x:v>
      </x:c>
      <x:c r="C69" s="261" t="str">
        <x:v>%</x:v>
      </x:c>
      <x:c r="D69" s="261" t="str">
        <x:v>Q1 FY27</x:v>
      </x:c>
      <x:c r="E69" s="262" t="str">
        <x:v>Issuer results</x:v>
      </x:c>
      <x:c r="F69" s="254"/>
      <x:c r="G69" s="254"/>
      <x:c r="H69" s="254"/>
      <x:c r="I69" s="254"/>
      <x:c r="J69" s="254"/>
      <x:c r="K69" s="254"/>
    </x:row>
    <x:row r="70">
      <x:c r="A70" s="260" t="str">
        <x:v>Q1 FY27 ROA</x:v>
      </x:c>
      <x:c r="B70" s="116" t="n">
        <x:v>0.0249</x:v>
      </x:c>
      <x:c r="C70" s="261" t="str">
        <x:v>%</x:v>
      </x:c>
      <x:c r="D70" s="261" t="str">
        <x:v>Q1 FY27</x:v>
      </x:c>
      <x:c r="E70" s="262" t="str">
        <x:v>Issuer results</x:v>
      </x:c>
      <x:c r="F70" s="254"/>
      <x:c r="G70" s="254"/>
      <x:c r="H70" s="254"/>
      <x:c r="I70" s="254"/>
      <x:c r="J70" s="254"/>
      <x:c r="K70" s="254"/>
    </x:row>
    <x:row r="71">
      <x:c r="A71" s="260" t="str">
        <x:v>Q1 FY27 NIM</x:v>
      </x:c>
      <x:c r="B71" s="116" t="n">
        <x:v>0.0436</x:v>
      </x:c>
      <x:c r="C71" s="261" t="str">
        <x:v>%</x:v>
      </x:c>
      <x:c r="D71" s="261" t="str">
        <x:v>Q1 FY27</x:v>
      </x:c>
      <x:c r="E71" s="262" t="str">
        <x:v>Issuer results</x:v>
      </x:c>
      <x:c r="F71" s="254"/>
      <x:c r="G71" s="254"/>
      <x:c r="H71" s="254"/>
      <x:c r="I71" s="254"/>
      <x:c r="J71" s="254"/>
      <x:c r="K71" s="254"/>
    </x:row>
    <x:row r="72">
      <x:c r="A72" s="260" t="str">
        <x:v>Loan Growth YoY</x:v>
      </x:c>
      <x:c r="B72" s="116" t="n">
        <x:v>0.196</x:v>
      </x:c>
      <x:c r="C72" s="261" t="str">
        <x:v>%</x:v>
      </x:c>
      <x:c r="D72" s="261" t="str">
        <x:v>Q1 FY27</x:v>
      </x:c>
      <x:c r="E72" s="262" t="str">
        <x:v>Issuer results</x:v>
      </x:c>
      <x:c r="F72" s="254"/>
      <x:c r="G72" s="254"/>
      <x:c r="H72" s="254"/>
      <x:c r="I72" s="254"/>
      <x:c r="J72" s="254"/>
      <x:c r="K72" s="254"/>
    </x:row>
    <x:row r="73">
      <x:c r="A73" s="260" t="str">
        <x:v>Deposit Growth YoY</x:v>
      </x:c>
      <x:c r="B73" s="116" t="n">
        <x:v>0.14</x:v>
      </x:c>
      <x:c r="C73" s="261" t="str">
        <x:v>%</x:v>
      </x:c>
      <x:c r="D73" s="261" t="str">
        <x:v>Q1 FY27</x:v>
      </x:c>
      <x:c r="E73" s="262" t="str">
        <x:v>Issuer results</x:v>
      </x:c>
      <x:c r="F73" s="254"/>
      <x:c r="G73" s="254"/>
      <x:c r="H73" s="254"/>
      <x:c r="I73" s="254"/>
      <x:c r="J73" s="254"/>
      <x:c r="K73" s="254"/>
    </x:row>
    <x:row r="74">
      <x:c r="A74" s="260" t="str">
        <x:v>GNPA</x:v>
      </x:c>
      <x:c r="B74" s="116" t="n">
        <x:v>0.0138</x:v>
      </x:c>
      <x:c r="C74" s="261" t="str">
        <x:v>%</x:v>
      </x:c>
      <x:c r="D74" s="261" t="str">
        <x:v>Q1 FY27</x:v>
      </x:c>
      <x:c r="E74" s="262" t="str">
        <x:v>Issuer results</x:v>
      </x:c>
      <x:c r="F74" s="254"/>
      <x:c r="G74" s="254"/>
      <x:c r="H74" s="254"/>
      <x:c r="I74" s="254"/>
      <x:c r="J74" s="254"/>
      <x:c r="K74" s="254"/>
    </x:row>
    <x:row r="75">
      <x:c r="A75" s="260" t="str">
        <x:v>NNPA</x:v>
      </x:c>
      <x:c r="B75" s="116" t="n">
        <x:v>0.0035</x:v>
      </x:c>
      <x:c r="C75" s="261" t="str">
        <x:v>%</x:v>
      </x:c>
      <x:c r="D75" s="261" t="str">
        <x:v>Q1 FY27</x:v>
      </x:c>
      <x:c r="E75" s="262" t="str">
        <x:v>Issuer results</x:v>
      </x:c>
      <x:c r="F75" s="254"/>
      <x:c r="G75" s="254"/>
      <x:c r="H75" s="254"/>
      <x:c r="I75" s="254"/>
      <x:c r="J75" s="254"/>
      <x:c r="K75" s="254"/>
    </x:row>
    <x:row r="76">
      <x:c r="A76" s="260" t="str">
        <x:v>CET1</x:v>
      </x:c>
      <x:c r="B76" s="116" t="n">
        <x:v>0.1619</x:v>
      </x:c>
      <x:c r="C76" s="261" t="str">
        <x:v>%</x:v>
      </x:c>
      <x:c r="D76" s="261" t="str">
        <x:v>Q1 FY27</x:v>
      </x:c>
      <x:c r="E76" s="262" t="str">
        <x:v>Issuer results</x:v>
      </x:c>
      <x:c r="F76" s="254"/>
      <x:c r="G76" s="254"/>
      <x:c r="H76" s="254"/>
      <x:c r="I76" s="254"/>
      <x:c r="J76" s="254"/>
      <x:c r="K76" s="254"/>
    </x:row>
    <x:row r="77">
      <x:c r="A77" s="260" t="str">
        <x:v>CASA</x:v>
      </x:c>
      <x:c r="B77" s="116" t="n">
        <x:v>0.395</x:v>
      </x:c>
      <x:c r="C77" s="261" t="str">
        <x:v>%</x:v>
      </x:c>
      <x:c r="D77" s="261" t="str">
        <x:v>Q1 FY27</x:v>
      </x:c>
      <x:c r="E77" s="262" t="str">
        <x:v>Issuer results</x:v>
      </x:c>
      <x:c r="F77" s="254"/>
      <x:c r="G77" s="254"/>
      <x:c r="H77" s="254"/>
      <x:c r="I77" s="254"/>
      <x:c r="J77" s="254"/>
      <x:c r="K77" s="254"/>
    </x:row>
    <x:row r="78">
      <x:c r="A78" s="260" t="str">
        <x:v>Tangibility Check — Total Intangible Adjustment</x:v>
      </x:c>
      <x:c r="B78" s="112" t="n">
        <x:v>10550.100000000035</x:v>
      </x:c>
      <x:c r="C78" s="261" t="str">
        <x:v>₹ Cr</x:v>
      </x:c>
      <x:c r="D78" s="261" t="str">
        <x:v>FY26</x:v>
      </x:c>
      <x:c r="E78" s="262" t="str">
        <x:v>Common Equity − Tangible Common Equity</x:v>
      </x:c>
      <x:c r="F78" s="254"/>
      <x:c r="G78" s="254"/>
      <x:c r="H78" s="254"/>
      <x:c r="I78" s="254"/>
      <x:c r="J78" s="254"/>
      <x:c r="K78" s="254"/>
    </x:row>
    <x:row r="79">
      <x:c r="A79" s="260"/>
      <x:c r="B79" s="261"/>
      <x:c r="C79" s="261"/>
      <x:c r="D79" s="261"/>
      <x:c r="E79" s="262"/>
      <x:c r="F79" s="254"/>
      <x:c r="G79" s="254"/>
      <x:c r="H79" s="254"/>
      <x:c r="I79" s="254"/>
      <x:c r="J79" s="254"/>
      <x:c r="K79" s="254"/>
    </x:row>
    <x:row r="80" ht="30" customHeight="1">
      <x:c r="A80" s="82" t="str">
        <x:v>Sources: Market = https://www.screener.in/company/ICICIBANK/ | Results = https://www.icici.bank.in/about-us/investor-relations/financial-results | Tangible book = standardized balance-sheet / S&amp;P Global dataset</x:v>
      </x:c>
      <x:c r="B80" s="83"/>
      <x:c r="C80" s="83"/>
      <x:c r="D80" s="83"/>
      <x:c r="E80" s="84"/>
      <x:c r="F80" s="254"/>
      <x:c r="G80" s="254"/>
      <x:c r="H80" s="254"/>
      <x:c r="I80" s="254"/>
      <x:c r="J80" s="254"/>
      <x:c r="K80" s="254"/>
    </x:row>
    <x:row r="81">
      <x:c r="A81" s="260"/>
      <x:c r="B81" s="261"/>
      <x:c r="C81" s="261"/>
      <x:c r="D81" s="261"/>
      <x:c r="E81" s="262"/>
      <x:c r="F81" s="254"/>
      <x:c r="G81" s="254"/>
      <x:c r="H81" s="254"/>
      <x:c r="I81" s="254"/>
      <x:c r="J81" s="254"/>
      <x:c r="K81" s="254"/>
    </x:row>
    <x:row r="82" ht="21" customHeight="1">
      <x:c r="A82" s="76" t="str">
        <x:v>KOTAK MAHINDRA BANK (KOTAKBANK)</x:v>
      </x:c>
      <x:c r="B82" s="77"/>
      <x:c r="C82" s="77"/>
      <x:c r="D82" s="77"/>
      <x:c r="E82" s="78"/>
      <x:c r="F82" s="254"/>
      <x:c r="G82" s="254"/>
      <x:c r="H82" s="254"/>
      <x:c r="I82" s="254"/>
      <x:c r="J82" s="254"/>
      <x:c r="K82" s="254"/>
    </x:row>
    <x:row r="83" ht="32" customHeight="1">
      <x:c r="A83" s="79" t="str">
        <x:v>Metric</x:v>
      </x:c>
      <x:c r="B83" s="80" t="str">
        <x:v>Value</x:v>
      </x:c>
      <x:c r="C83" s="80" t="str">
        <x:v>Unit</x:v>
      </x:c>
      <x:c r="D83" s="80" t="str">
        <x:v>Period</x:v>
      </x:c>
      <x:c r="E83" s="81" t="str">
        <x:v>Source / Note</x:v>
      </x:c>
      <x:c r="F83" s="254"/>
      <x:c r="G83" s="254"/>
      <x:c r="H83" s="254"/>
      <x:c r="I83" s="254"/>
      <x:c r="J83" s="254"/>
      <x:c r="K83" s="254"/>
    </x:row>
    <x:row r="84">
      <x:c r="A84" s="260" t="str">
        <x:v>Share Price</x:v>
      </x:c>
      <x:c r="B84" s="112" t="n">
        <x:v>412</x:v>
      </x:c>
      <x:c r="C84" s="261" t="str">
        <x:v>₹ / share</x:v>
      </x:c>
      <x:c r="D84" s="261" t="str">
        <x:v>18-Sep-2026</x:v>
      </x:c>
      <x:c r="E84" s="262" t="str">
        <x:v>Screener</x:v>
      </x:c>
      <x:c r="F84" s="254"/>
      <x:c r="G84" s="254"/>
      <x:c r="H84" s="254"/>
      <x:c r="I84" s="254"/>
      <x:c r="J84" s="254"/>
      <x:c r="K84" s="254"/>
    </x:row>
    <x:row r="85">
      <x:c r="A85" s="260" t="str">
        <x:v>Market Cap</x:v>
      </x:c>
      <x:c r="B85" s="112" t="n">
        <x:v>409849</x:v>
      </x:c>
      <x:c r="C85" s="261" t="str">
        <x:v>₹ Cr</x:v>
      </x:c>
      <x:c r="D85" s="261" t="str">
        <x:v>18-Sep-2026</x:v>
      </x:c>
      <x:c r="E85" s="262" t="str">
        <x:v>Screener</x:v>
      </x:c>
      <x:c r="F85" s="254"/>
      <x:c r="G85" s="254"/>
      <x:c r="H85" s="254"/>
      <x:c r="I85" s="254"/>
      <x:c r="J85" s="254"/>
      <x:c r="K85" s="254"/>
    </x:row>
    <x:row r="86">
      <x:c r="A86" s="260" t="str">
        <x:v>Stock P/E</x:v>
      </x:c>
      <x:c r="B86" s="114" t="n">
        <x:v>20.5</x:v>
      </x:c>
      <x:c r="C86" s="261" t="str">
        <x:v>x</x:v>
      </x:c>
      <x:c r="D86" s="261" t="str">
        <x:v>18-Sep-2026</x:v>
      </x:c>
      <x:c r="E86" s="262" t="str">
        <x:v>Screener</x:v>
      </x:c>
      <x:c r="F86" s="254"/>
      <x:c r="G86" s="254"/>
      <x:c r="H86" s="254"/>
      <x:c r="I86" s="254"/>
      <x:c r="J86" s="254"/>
      <x:c r="K86" s="254"/>
    </x:row>
    <x:row r="87">
      <x:c r="A87" s="260" t="str">
        <x:v>Screener Book Value / Share</x:v>
      </x:c>
      <x:c r="B87" s="112" t="n">
        <x:v>182</x:v>
      </x:c>
      <x:c r="C87" s="261" t="str">
        <x:v>₹ / share</x:v>
      </x:c>
      <x:c r="D87" s="261" t="str">
        <x:v>18-Sep-2026</x:v>
      </x:c>
      <x:c r="E87" s="262" t="str">
        <x:v>Screener snapshot</x:v>
      </x:c>
      <x:c r="F87" s="254"/>
      <x:c r="G87" s="254"/>
      <x:c r="H87" s="254"/>
      <x:c r="I87" s="254"/>
      <x:c r="J87" s="254"/>
      <x:c r="K87" s="254"/>
    </x:row>
    <x:row r="88">
      <x:c r="A88" s="260" t="str">
        <x:v>Dividend Yield</x:v>
      </x:c>
      <x:c r="B88" s="116" t="n">
        <x:v>0.0016</x:v>
      </x:c>
      <x:c r="C88" s="261" t="str">
        <x:v>%</x:v>
      </x:c>
      <x:c r="D88" s="261" t="str">
        <x:v>18-Sep-2026</x:v>
      </x:c>
      <x:c r="E88" s="262" t="str">
        <x:v>Screener</x:v>
      </x:c>
      <x:c r="F88" s="254"/>
      <x:c r="G88" s="254"/>
      <x:c r="H88" s="254"/>
      <x:c r="I88" s="254"/>
      <x:c r="J88" s="254"/>
      <x:c r="K88" s="254"/>
    </x:row>
    <x:row r="89">
      <x:c r="A89" s="260" t="str">
        <x:v>Common Equity attributable to shareholders</x:v>
      </x:c>
      <x:c r="B89" s="112" t="n">
        <x:v>181225.9</x:v>
      </x:c>
      <x:c r="C89" s="261" t="str">
        <x:v>₹ Cr</x:v>
      </x:c>
      <x:c r="D89" s="261" t="str">
        <x:v>FY26</x:v>
      </x:c>
      <x:c r="E89" s="262" t="str">
        <x:v>Standardized balance sheet / S&amp;P Global dataset</x:v>
      </x:c>
      <x:c r="F89" s="254"/>
      <x:c r="G89" s="254"/>
      <x:c r="H89" s="254"/>
      <x:c r="I89" s="254"/>
      <x:c r="J89" s="254"/>
      <x:c r="K89" s="254"/>
    </x:row>
    <x:row r="90">
      <x:c r="A90" s="260" t="str">
        <x:v>Goodwill</x:v>
      </x:c>
      <x:c r="B90" s="112" t="n">
        <x:v>947.8</x:v>
      </x:c>
      <x:c r="C90" s="261" t="str">
        <x:v>₹ Cr</x:v>
      </x:c>
      <x:c r="D90" s="261" t="str">
        <x:v>FY26</x:v>
      </x:c>
      <x:c r="E90" s="262" t="str">
        <x:v>Standardized balance sheet / S&amp;P Global dataset</x:v>
      </x:c>
      <x:c r="F90" s="254"/>
      <x:c r="G90" s="254"/>
      <x:c r="H90" s="254"/>
      <x:c r="I90" s="254"/>
      <x:c r="J90" s="254"/>
      <x:c r="K90" s="254"/>
    </x:row>
    <x:row r="91">
      <x:c r="A91" s="260" t="str">
        <x:v>Other Intangible Assets</x:v>
      </x:c>
      <x:c r="B91" s="112" t="n">
        <x:v>0</x:v>
      </x:c>
      <x:c r="C91" s="261" t="str">
        <x:v>₹ Cr</x:v>
      </x:c>
      <x:c r="D91" s="261" t="str">
        <x:v>FY26</x:v>
      </x:c>
      <x:c r="E91" s="262" t="str">
        <x:v>Not separately captured in standardized source</x:v>
      </x:c>
      <x:c r="F91" s="254"/>
      <x:c r="G91" s="254"/>
      <x:c r="H91" s="254"/>
      <x:c r="I91" s="254"/>
      <x:c r="J91" s="254"/>
      <x:c r="K91" s="254"/>
    </x:row>
    <x:row r="92">
      <x:c r="A92" s="260" t="str">
        <x:v>Tangible Common Equity</x:v>
      </x:c>
      <x:c r="B92" s="112" t="n">
        <x:v>180278.1</x:v>
      </x:c>
      <x:c r="C92" s="261" t="str">
        <x:v>₹ Cr</x:v>
      </x:c>
      <x:c r="D92" s="261" t="str">
        <x:v>FY26</x:v>
      </x:c>
      <x:c r="E92" s="262" t="str">
        <x:v>Common equity less total intangible adjustment</x:v>
      </x:c>
      <x:c r="F92" s="254"/>
      <x:c r="G92" s="254"/>
      <x:c r="H92" s="254"/>
      <x:c r="I92" s="254"/>
      <x:c r="J92" s="254"/>
      <x:c r="K92" s="254"/>
    </x:row>
    <x:row r="93">
      <x:c r="A93" s="260" t="str">
        <x:v>Shares Outstanding</x:v>
      </x:c>
      <x:c r="B93" s="118" t="n">
        <x:v>994.6</x:v>
      </x:c>
      <x:c r="C93" s="261" t="str">
        <x:v>Cr shares</x:v>
      </x:c>
      <x:c r="D93" s="261" t="str">
        <x:v>FY26</x:v>
      </x:c>
      <x:c r="E93" s="262" t="str">
        <x:v>Standardized share count</x:v>
      </x:c>
      <x:c r="F93" s="254"/>
      <x:c r="G93" s="254"/>
      <x:c r="H93" s="254"/>
      <x:c r="I93" s="254"/>
      <x:c r="J93" s="254"/>
      <x:c r="K93" s="254"/>
    </x:row>
    <x:row r="94">
      <x:c r="A94" s="260" t="str">
        <x:v>FY26 ROE</x:v>
      </x:c>
      <x:c r="B94" s="116" t="n">
        <x:v>0.114</x:v>
      </x:c>
      <x:c r="C94" s="261" t="str">
        <x:v>%</x:v>
      </x:c>
      <x:c r="D94" s="261" t="str">
        <x:v>FY26</x:v>
      </x:c>
      <x:c r="E94" s="262" t="str">
        <x:v>Screener / issuer disclosures</x:v>
      </x:c>
      <x:c r="F94" s="254"/>
      <x:c r="G94" s="254"/>
      <x:c r="H94" s="254"/>
      <x:c r="I94" s="254"/>
      <x:c r="J94" s="254"/>
      <x:c r="K94" s="254"/>
    </x:row>
    <x:row r="95">
      <x:c r="A95" s="260" t="str">
        <x:v>Q1 FY27 ROE</x:v>
      </x:c>
      <x:c r="B95" s="116" t="n">
        <x:v>0.1198</x:v>
      </x:c>
      <x:c r="C95" s="261" t="str">
        <x:v>%</x:v>
      </x:c>
      <x:c r="D95" s="261" t="str">
        <x:v>Q1 FY27</x:v>
      </x:c>
      <x:c r="E95" s="262" t="str">
        <x:v>Issuer results</x:v>
      </x:c>
      <x:c r="F95" s="254"/>
      <x:c r="G95" s="254"/>
      <x:c r="H95" s="254"/>
      <x:c r="I95" s="254"/>
      <x:c r="J95" s="254"/>
      <x:c r="K95" s="254"/>
    </x:row>
    <x:row r="96">
      <x:c r="A96" s="260" t="str">
        <x:v>Q1 FY27 ROA</x:v>
      </x:c>
      <x:c r="B96" s="116" t="n">
        <x:v>0.0214</x:v>
      </x:c>
      <x:c r="C96" s="261" t="str">
        <x:v>%</x:v>
      </x:c>
      <x:c r="D96" s="261" t="str">
        <x:v>Q1 FY27</x:v>
      </x:c>
      <x:c r="E96" s="262" t="str">
        <x:v>Issuer results</x:v>
      </x:c>
      <x:c r="F96" s="254"/>
      <x:c r="G96" s="254"/>
      <x:c r="H96" s="254"/>
      <x:c r="I96" s="254"/>
      <x:c r="J96" s="254"/>
      <x:c r="K96" s="254"/>
    </x:row>
    <x:row r="97">
      <x:c r="A97" s="260" t="str">
        <x:v>Q1 FY27 NIM</x:v>
      </x:c>
      <x:c r="B97" s="116" t="n">
        <x:v>0.0453</x:v>
      </x:c>
      <x:c r="C97" s="261" t="str">
        <x:v>%</x:v>
      </x:c>
      <x:c r="D97" s="261" t="str">
        <x:v>Q1 FY27</x:v>
      </x:c>
      <x:c r="E97" s="262" t="str">
        <x:v>Issuer results</x:v>
      </x:c>
      <x:c r="F97" s="254"/>
      <x:c r="G97" s="254"/>
      <x:c r="H97" s="254"/>
      <x:c r="I97" s="254"/>
      <x:c r="J97" s="254"/>
      <x:c r="K97" s="254"/>
    </x:row>
    <x:row r="98">
      <x:c r="A98" s="260" t="str">
        <x:v>Loan Growth YoY</x:v>
      </x:c>
      <x:c r="B98" s="116" t="n">
        <x:v>0.15</x:v>
      </x:c>
      <x:c r="C98" s="261" t="str">
        <x:v>%</x:v>
      </x:c>
      <x:c r="D98" s="261" t="str">
        <x:v>Q1 FY27</x:v>
      </x:c>
      <x:c r="E98" s="262" t="str">
        <x:v>Issuer results</x:v>
      </x:c>
      <x:c r="F98" s="254"/>
      <x:c r="G98" s="254"/>
      <x:c r="H98" s="254"/>
      <x:c r="I98" s="254"/>
      <x:c r="J98" s="254"/>
      <x:c r="K98" s="254"/>
    </x:row>
    <x:row r="99">
      <x:c r="A99" s="260" t="str">
        <x:v>Deposit Growth YoY</x:v>
      </x:c>
      <x:c r="B99" s="116" t="n">
        <x:v>0.12</x:v>
      </x:c>
      <x:c r="C99" s="261" t="str">
        <x:v>%</x:v>
      </x:c>
      <x:c r="D99" s="261" t="str">
        <x:v>Q1 FY27</x:v>
      </x:c>
      <x:c r="E99" s="262" t="str">
        <x:v>Issuer results</x:v>
      </x:c>
      <x:c r="F99" s="254"/>
      <x:c r="G99" s="254"/>
      <x:c r="H99" s="254"/>
      <x:c r="I99" s="254"/>
      <x:c r="J99" s="254"/>
      <x:c r="K99" s="254"/>
    </x:row>
    <x:row r="100">
      <x:c r="A100" s="260" t="str">
        <x:v>GNPA</x:v>
      </x:c>
      <x:c r="B100" s="116" t="n">
        <x:v>0.0118</x:v>
      </x:c>
      <x:c r="C100" s="261" t="str">
        <x:v>%</x:v>
      </x:c>
      <x:c r="D100" s="261" t="str">
        <x:v>Q1 FY27</x:v>
      </x:c>
      <x:c r="E100" s="262" t="str">
        <x:v>Issuer results</x:v>
      </x:c>
      <x:c r="F100" s="254"/>
      <x:c r="G100" s="254"/>
      <x:c r="H100" s="254"/>
      <x:c r="I100" s="254"/>
      <x:c r="J100" s="254"/>
      <x:c r="K100" s="254"/>
    </x:row>
    <x:row r="101">
      <x:c r="A101" s="260" t="str">
        <x:v>NNPA</x:v>
      </x:c>
      <x:c r="B101" s="116" t="n">
        <x:v>0.0027</x:v>
      </x:c>
      <x:c r="C101" s="261" t="str">
        <x:v>%</x:v>
      </x:c>
      <x:c r="D101" s="261" t="str">
        <x:v>Q1 FY27</x:v>
      </x:c>
      <x:c r="E101" s="262" t="str">
        <x:v>Issuer results</x:v>
      </x:c>
      <x:c r="F101" s="254"/>
      <x:c r="G101" s="254"/>
      <x:c r="H101" s="254"/>
      <x:c r="I101" s="254"/>
      <x:c r="J101" s="254"/>
      <x:c r="K101" s="254"/>
    </x:row>
    <x:row r="102">
      <x:c r="A102" s="260" t="str">
        <x:v>CET1</x:v>
      </x:c>
      <x:c r="B102" s="116" t="n">
        <x:v>0.224</x:v>
      </x:c>
      <x:c r="C102" s="261" t="str">
        <x:v>%</x:v>
      </x:c>
      <x:c r="D102" s="261" t="str">
        <x:v>Q1 FY27</x:v>
      </x:c>
      <x:c r="E102" s="262" t="str">
        <x:v>Issuer results</x:v>
      </x:c>
      <x:c r="F102" s="254"/>
      <x:c r="G102" s="254"/>
      <x:c r="H102" s="254"/>
      <x:c r="I102" s="254"/>
      <x:c r="J102" s="254"/>
      <x:c r="K102" s="254"/>
    </x:row>
    <x:row r="103">
      <x:c r="A103" s="260" t="str">
        <x:v>CASA</x:v>
      </x:c>
      <x:c r="B103" s="116" t="n">
        <x:v>0.403</x:v>
      </x:c>
      <x:c r="C103" s="261" t="str">
        <x:v>%</x:v>
      </x:c>
      <x:c r="D103" s="261" t="str">
        <x:v>Q1 FY27</x:v>
      </x:c>
      <x:c r="E103" s="262" t="str">
        <x:v>Issuer results</x:v>
      </x:c>
      <x:c r="F103" s="254"/>
      <x:c r="G103" s="254"/>
      <x:c r="H103" s="254"/>
      <x:c r="I103" s="254"/>
      <x:c r="J103" s="254"/>
      <x:c r="K103" s="254"/>
    </x:row>
    <x:row r="104">
      <x:c r="A104" s="260" t="str">
        <x:v>Tangibility Check — Total Intangible Adjustment</x:v>
      </x:c>
      <x:c r="B104" s="112" t="n">
        <x:v>947.7999999999884</x:v>
      </x:c>
      <x:c r="C104" s="261" t="str">
        <x:v>₹ Cr</x:v>
      </x:c>
      <x:c r="D104" s="261" t="str">
        <x:v>FY26</x:v>
      </x:c>
      <x:c r="E104" s="262" t="str">
        <x:v>Common Equity − Tangible Common Equity</x:v>
      </x:c>
      <x:c r="F104" s="254"/>
      <x:c r="G104" s="254"/>
      <x:c r="H104" s="254"/>
      <x:c r="I104" s="254"/>
      <x:c r="J104" s="254"/>
      <x:c r="K104" s="254"/>
    </x:row>
    <x:row r="105">
      <x:c r="A105" s="260"/>
      <x:c r="B105" s="261"/>
      <x:c r="C105" s="261"/>
      <x:c r="D105" s="261"/>
      <x:c r="E105" s="262"/>
      <x:c r="F105" s="254"/>
      <x:c r="G105" s="254"/>
      <x:c r="H105" s="254"/>
      <x:c r="I105" s="254"/>
      <x:c r="J105" s="254"/>
      <x:c r="K105" s="254"/>
    </x:row>
    <x:row r="106" ht="30" customHeight="1">
      <x:c r="A106" s="82" t="str">
        <x:v>Sources: Market = https://www.screener.in/company/KOTAKBANK/ | Results = https://www.kotak.com/en/investor-relations/financial-results.html | Tangible book = standardized balance-sheet / S&amp;P Global dataset</x:v>
      </x:c>
      <x:c r="B106" s="83"/>
      <x:c r="C106" s="83"/>
      <x:c r="D106" s="83"/>
      <x:c r="E106" s="84"/>
      <x:c r="F106" s="254"/>
      <x:c r="G106" s="254"/>
      <x:c r="H106" s="254"/>
      <x:c r="I106" s="254"/>
      <x:c r="J106" s="254"/>
      <x:c r="K106" s="254"/>
    </x:row>
    <x:row r="107">
      <x:c r="A107" s="260"/>
      <x:c r="B107" s="261"/>
      <x:c r="C107" s="261"/>
      <x:c r="D107" s="261"/>
      <x:c r="E107" s="262"/>
      <x:c r="F107" s="254"/>
      <x:c r="G107" s="254"/>
      <x:c r="H107" s="254"/>
      <x:c r="I107" s="254"/>
      <x:c r="J107" s="254"/>
      <x:c r="K107" s="254"/>
    </x:row>
    <x:row r="108" ht="21" customHeight="1">
      <x:c r="A108" s="76" t="str">
        <x:v>FEDERAL BANK (FEDERALBNK)</x:v>
      </x:c>
      <x:c r="B108" s="77"/>
      <x:c r="C108" s="77"/>
      <x:c r="D108" s="77"/>
      <x:c r="E108" s="78"/>
      <x:c r="F108" s="254"/>
      <x:c r="G108" s="254"/>
      <x:c r="H108" s="254"/>
      <x:c r="I108" s="254"/>
      <x:c r="J108" s="254"/>
      <x:c r="K108" s="254"/>
    </x:row>
    <x:row r="109" ht="32" customHeight="1">
      <x:c r="A109" s="79" t="str">
        <x:v>Metric</x:v>
      </x:c>
      <x:c r="B109" s="80" t="str">
        <x:v>Value</x:v>
      </x:c>
      <x:c r="C109" s="80" t="str">
        <x:v>Unit</x:v>
      </x:c>
      <x:c r="D109" s="80" t="str">
        <x:v>Period</x:v>
      </x:c>
      <x:c r="E109" s="81" t="str">
        <x:v>Source / Note</x:v>
      </x:c>
      <x:c r="F109" s="254"/>
      <x:c r="G109" s="254"/>
      <x:c r="H109" s="254"/>
      <x:c r="I109" s="254"/>
      <x:c r="J109" s="254"/>
      <x:c r="K109" s="254"/>
    </x:row>
    <x:row r="110">
      <x:c r="A110" s="260" t="str">
        <x:v>Share Price</x:v>
      </x:c>
      <x:c r="B110" s="112" t="n">
        <x:v>333</x:v>
      </x:c>
      <x:c r="C110" s="261" t="str">
        <x:v>₹ / share</x:v>
      </x:c>
      <x:c r="D110" s="261" t="str">
        <x:v>18-Sep-2026</x:v>
      </x:c>
      <x:c r="E110" s="262" t="str">
        <x:v>Screener</x:v>
      </x:c>
      <x:c r="F110" s="254"/>
      <x:c r="G110" s="254"/>
      <x:c r="H110" s="254"/>
      <x:c r="I110" s="254"/>
      <x:c r="J110" s="254"/>
      <x:c r="K110" s="254"/>
    </x:row>
    <x:row r="111">
      <x:c r="A111" s="260" t="str">
        <x:v>Market Cap</x:v>
      </x:c>
      <x:c r="B111" s="112" t="n">
        <x:v>82274</x:v>
      </x:c>
      <x:c r="C111" s="261" t="str">
        <x:v>₹ Cr</x:v>
      </x:c>
      <x:c r="D111" s="261" t="str">
        <x:v>18-Sep-2026</x:v>
      </x:c>
      <x:c r="E111" s="262" t="str">
        <x:v>Screener</x:v>
      </x:c>
      <x:c r="F111" s="254"/>
      <x:c r="G111" s="254"/>
      <x:c r="H111" s="254"/>
      <x:c r="I111" s="254"/>
      <x:c r="J111" s="254"/>
      <x:c r="K111" s="254"/>
    </x:row>
    <x:row r="112">
      <x:c r="A112" s="260" t="str">
        <x:v>Stock P/E</x:v>
      </x:c>
      <x:c r="B112" s="114" t="n">
        <x:v>18.6</x:v>
      </x:c>
      <x:c r="C112" s="261" t="str">
        <x:v>x</x:v>
      </x:c>
      <x:c r="D112" s="261" t="str">
        <x:v>18-Sep-2026</x:v>
      </x:c>
      <x:c r="E112" s="262" t="str">
        <x:v>Screener</x:v>
      </x:c>
      <x:c r="F112" s="254"/>
      <x:c r="G112" s="254"/>
      <x:c r="H112" s="254"/>
      <x:c r="I112" s="254"/>
      <x:c r="J112" s="254"/>
      <x:c r="K112" s="254"/>
    </x:row>
    <x:row r="113">
      <x:c r="A113" s="260" t="str">
        <x:v>Screener Book Value / Share</x:v>
      </x:c>
      <x:c r="B113" s="112" t="n">
        <x:v>157</x:v>
      </x:c>
      <x:c r="C113" s="261" t="str">
        <x:v>₹ / share</x:v>
      </x:c>
      <x:c r="D113" s="261" t="str">
        <x:v>18-Sep-2026</x:v>
      </x:c>
      <x:c r="E113" s="262" t="str">
        <x:v>Screener snapshot</x:v>
      </x:c>
      <x:c r="F113" s="254"/>
      <x:c r="G113" s="254"/>
      <x:c r="H113" s="254"/>
      <x:c r="I113" s="254"/>
      <x:c r="J113" s="254"/>
      <x:c r="K113" s="254"/>
    </x:row>
    <x:row r="114">
      <x:c r="A114" s="260" t="str">
        <x:v>Dividend Yield</x:v>
      </x:c>
      <x:c r="B114" s="116" t="n">
        <x:v>0.0036</x:v>
      </x:c>
      <x:c r="C114" s="261" t="str">
        <x:v>%</x:v>
      </x:c>
      <x:c r="D114" s="261" t="str">
        <x:v>18-Sep-2026</x:v>
      </x:c>
      <x:c r="E114" s="262" t="str">
        <x:v>Screener</x:v>
      </x:c>
      <x:c r="F114" s="254"/>
      <x:c r="G114" s="254"/>
      <x:c r="H114" s="254"/>
      <x:c r="I114" s="254"/>
      <x:c r="J114" s="254"/>
      <x:c r="K114" s="254"/>
    </x:row>
    <x:row r="115">
      <x:c r="A115" s="260" t="str">
        <x:v>Common Equity attributable to shareholders</x:v>
      </x:c>
      <x:c r="B115" s="112" t="n">
        <x:v>40043</x:v>
      </x:c>
      <x:c r="C115" s="261" t="str">
        <x:v>₹ Cr</x:v>
      </x:c>
      <x:c r="D115" s="261" t="str">
        <x:v>FY26</x:v>
      </x:c>
      <x:c r="E115" s="262" t="str">
        <x:v>Standardized balance sheet / S&amp;P Global dataset</x:v>
      </x:c>
      <x:c r="F115" s="254"/>
      <x:c r="G115" s="254"/>
      <x:c r="H115" s="254"/>
      <x:c r="I115" s="254"/>
      <x:c r="J115" s="254"/>
      <x:c r="K115" s="254"/>
    </x:row>
    <x:row r="116">
      <x:c r="A116" s="260" t="str">
        <x:v>Goodwill</x:v>
      </x:c>
      <x:c r="B116" s="112" t="n">
        <x:v>0</x:v>
      </x:c>
      <x:c r="C116" s="261" t="str">
        <x:v>₹ Cr</x:v>
      </x:c>
      <x:c r="D116" s="261" t="str">
        <x:v>FY26</x:v>
      </x:c>
      <x:c r="E116" s="262" t="str">
        <x:v>Standardized balance sheet / S&amp;P Global dataset</x:v>
      </x:c>
      <x:c r="F116" s="254"/>
      <x:c r="G116" s="254"/>
      <x:c r="H116" s="254"/>
      <x:c r="I116" s="254"/>
      <x:c r="J116" s="254"/>
      <x:c r="K116" s="254"/>
    </x:row>
    <x:row r="117">
      <x:c r="A117" s="260" t="str">
        <x:v>Other Intangible Assets</x:v>
      </x:c>
      <x:c r="B117" s="112" t="n">
        <x:v>0</x:v>
      </x:c>
      <x:c r="C117" s="261" t="str">
        <x:v>₹ Cr</x:v>
      </x:c>
      <x:c r="D117" s="261" t="str">
        <x:v>FY26</x:v>
      </x:c>
      <x:c r="E117" s="262" t="str">
        <x:v>Not separately captured in standardized source</x:v>
      </x:c>
      <x:c r="F117" s="254"/>
      <x:c r="G117" s="254"/>
      <x:c r="H117" s="254"/>
      <x:c r="I117" s="254"/>
      <x:c r="J117" s="254"/>
      <x:c r="K117" s="254"/>
    </x:row>
    <x:row r="118">
      <x:c r="A118" s="260" t="str">
        <x:v>Tangible Common Equity</x:v>
      </x:c>
      <x:c r="B118" s="112" t="n">
        <x:v>40043</x:v>
      </x:c>
      <x:c r="C118" s="261" t="str">
        <x:v>₹ Cr</x:v>
      </x:c>
      <x:c r="D118" s="261" t="str">
        <x:v>FY26</x:v>
      </x:c>
      <x:c r="E118" s="262" t="str">
        <x:v>Common equity less total intangible adjustment</x:v>
      </x:c>
      <x:c r="F118" s="254"/>
      <x:c r="G118" s="254"/>
      <x:c r="H118" s="254"/>
      <x:c r="I118" s="254"/>
      <x:c r="J118" s="254"/>
      <x:c r="K118" s="254"/>
    </x:row>
    <x:row r="119">
      <x:c r="A119" s="260" t="str">
        <x:v>Shares Outstanding</x:v>
      </x:c>
      <x:c r="B119" s="118" t="n">
        <x:v>246.4</x:v>
      </x:c>
      <x:c r="C119" s="261" t="str">
        <x:v>Cr shares</x:v>
      </x:c>
      <x:c r="D119" s="261" t="str">
        <x:v>FY26</x:v>
      </x:c>
      <x:c r="E119" s="262" t="str">
        <x:v>Standardized share count</x:v>
      </x:c>
      <x:c r="F119" s="254"/>
      <x:c r="G119" s="254"/>
      <x:c r="H119" s="254"/>
      <x:c r="I119" s="254"/>
      <x:c r="J119" s="254"/>
      <x:c r="K119" s="254"/>
    </x:row>
    <x:row r="120">
      <x:c r="A120" s="260" t="str">
        <x:v>FY26 ROE</x:v>
      </x:c>
      <x:c r="B120" s="116" t="n">
        <x:v>0.114</x:v>
      </x:c>
      <x:c r="C120" s="261" t="str">
        <x:v>%</x:v>
      </x:c>
      <x:c r="D120" s="261" t="str">
        <x:v>FY26</x:v>
      </x:c>
      <x:c r="E120" s="262" t="str">
        <x:v>Screener / issuer disclosures</x:v>
      </x:c>
      <x:c r="F120" s="254"/>
      <x:c r="G120" s="254"/>
      <x:c r="H120" s="254"/>
      <x:c r="I120" s="254"/>
      <x:c r="J120" s="254"/>
      <x:c r="K120" s="254"/>
    </x:row>
    <x:row r="121">
      <x:c r="A121" s="260" t="str">
        <x:v>Q1 FY27 ROE</x:v>
      </x:c>
      <x:c r="B121" s="116" t="n">
        <x:v>0.1201</x:v>
      </x:c>
      <x:c r="C121" s="261" t="str">
        <x:v>%</x:v>
      </x:c>
      <x:c r="D121" s="261" t="str">
        <x:v>Q1 FY27</x:v>
      </x:c>
      <x:c r="E121" s="262" t="str">
        <x:v>Issuer results</x:v>
      </x:c>
      <x:c r="F121" s="254"/>
      <x:c r="G121" s="254"/>
      <x:c r="H121" s="254"/>
      <x:c r="I121" s="254"/>
      <x:c r="J121" s="254"/>
      <x:c r="K121" s="254"/>
    </x:row>
    <x:row r="122">
      <x:c r="A122" s="260" t="str">
        <x:v>Q1 FY27 ROA</x:v>
      </x:c>
      <x:c r="B122" s="116" t="n">
        <x:v>0.0122</x:v>
      </x:c>
      <x:c r="C122" s="261" t="str">
        <x:v>%</x:v>
      </x:c>
      <x:c r="D122" s="261" t="str">
        <x:v>Q1 FY27</x:v>
      </x:c>
      <x:c r="E122" s="262" t="str">
        <x:v>Issuer results</x:v>
      </x:c>
      <x:c r="F122" s="254"/>
      <x:c r="G122" s="254"/>
      <x:c r="H122" s="254"/>
      <x:c r="I122" s="254"/>
      <x:c r="J122" s="254"/>
      <x:c r="K122" s="254"/>
    </x:row>
    <x:row r="123">
      <x:c r="A123" s="260" t="str">
        <x:v>Q1 FY27 NIM</x:v>
      </x:c>
      <x:c r="B123" s="116" t="n">
        <x:v>0.0333</x:v>
      </x:c>
      <x:c r="C123" s="261" t="str">
        <x:v>%</x:v>
      </x:c>
      <x:c r="D123" s="261" t="str">
        <x:v>Q1 FY27</x:v>
      </x:c>
      <x:c r="E123" s="262" t="str">
        <x:v>Issuer results</x:v>
      </x:c>
      <x:c r="F123" s="254"/>
      <x:c r="G123" s="254"/>
      <x:c r="H123" s="254"/>
      <x:c r="I123" s="254"/>
      <x:c r="J123" s="254"/>
      <x:c r="K123" s="254"/>
    </x:row>
    <x:row r="124">
      <x:c r="A124" s="260" t="str">
        <x:v>Loan Growth YoY</x:v>
      </x:c>
      <x:c r="B124" s="116" t="n">
        <x:v>0.15</x:v>
      </x:c>
      <x:c r="C124" s="261" t="str">
        <x:v>%</x:v>
      </x:c>
      <x:c r="D124" s="261" t="str">
        <x:v>Q1 FY27</x:v>
      </x:c>
      <x:c r="E124" s="262" t="str">
        <x:v>Issuer results</x:v>
      </x:c>
      <x:c r="F124" s="254"/>
      <x:c r="G124" s="254"/>
      <x:c r="H124" s="254"/>
      <x:c r="I124" s="254"/>
      <x:c r="J124" s="254"/>
      <x:c r="K124" s="254"/>
    </x:row>
    <x:row r="125">
      <x:c r="A125" s="260" t="str">
        <x:v>Deposit Growth YoY</x:v>
      </x:c>
      <x:c r="B125" s="116" t="n">
        <x:v>0.1137</x:v>
      </x:c>
      <x:c r="C125" s="261" t="str">
        <x:v>%</x:v>
      </x:c>
      <x:c r="D125" s="261" t="str">
        <x:v>Q1 FY27</x:v>
      </x:c>
      <x:c r="E125" s="262" t="str">
        <x:v>Issuer results</x:v>
      </x:c>
      <x:c r="F125" s="254"/>
      <x:c r="G125" s="254"/>
      <x:c r="H125" s="254"/>
      <x:c r="I125" s="254"/>
      <x:c r="J125" s="254"/>
      <x:c r="K125" s="254"/>
    </x:row>
    <x:row r="126">
      <x:c r="A126" s="260" t="str">
        <x:v>GNPA</x:v>
      </x:c>
      <x:c r="B126" s="116" t="n">
        <x:v>0.0152</x:v>
      </x:c>
      <x:c r="C126" s="261" t="str">
        <x:v>%</x:v>
      </x:c>
      <x:c r="D126" s="261" t="str">
        <x:v>Q1 FY27</x:v>
      </x:c>
      <x:c r="E126" s="262" t="str">
        <x:v>Issuer results</x:v>
      </x:c>
      <x:c r="F126" s="254"/>
      <x:c r="G126" s="254"/>
      <x:c r="H126" s="254"/>
      <x:c r="I126" s="254"/>
      <x:c r="J126" s="254"/>
      <x:c r="K126" s="254"/>
    </x:row>
    <x:row r="127">
      <x:c r="A127" s="260" t="str">
        <x:v>NNPA</x:v>
      </x:c>
      <x:c r="B127" s="116" t="n">
        <x:v>0.0018</x:v>
      </x:c>
      <x:c r="C127" s="261" t="str">
        <x:v>%</x:v>
      </x:c>
      <x:c r="D127" s="261" t="str">
        <x:v>Q1 FY27</x:v>
      </x:c>
      <x:c r="E127" s="262" t="str">
        <x:v>Issuer results</x:v>
      </x:c>
      <x:c r="F127" s="254"/>
      <x:c r="G127" s="254"/>
      <x:c r="H127" s="254"/>
      <x:c r="I127" s="254"/>
      <x:c r="J127" s="254"/>
      <x:c r="K127" s="254"/>
    </x:row>
    <x:row r="128">
      <x:c r="A128" s="260" t="str">
        <x:v>CET1</x:v>
      </x:c>
      <x:c r="B128" s="116" t="n">
        <x:v>0.1589</x:v>
      </x:c>
      <x:c r="C128" s="261" t="str">
        <x:v>%</x:v>
      </x:c>
      <x:c r="D128" s="261" t="str">
        <x:v>Q1 FY27</x:v>
      </x:c>
      <x:c r="E128" s="262" t="str">
        <x:v>Issuer results</x:v>
      </x:c>
      <x:c r="F128" s="254"/>
      <x:c r="G128" s="254"/>
      <x:c r="H128" s="254"/>
      <x:c r="I128" s="254"/>
      <x:c r="J128" s="254"/>
      <x:c r="K128" s="254"/>
    </x:row>
    <x:row r="129">
      <x:c r="A129" s="260" t="str">
        <x:v>CASA</x:v>
      </x:c>
      <x:c r="B129" s="116" t="n">
        <x:v>0.3223</x:v>
      </x:c>
      <x:c r="C129" s="261" t="str">
        <x:v>%</x:v>
      </x:c>
      <x:c r="D129" s="261" t="str">
        <x:v>Q1 FY27</x:v>
      </x:c>
      <x:c r="E129" s="262" t="str">
        <x:v>Issuer results</x:v>
      </x:c>
      <x:c r="F129" s="254"/>
      <x:c r="G129" s="254"/>
      <x:c r="H129" s="254"/>
      <x:c r="I129" s="254"/>
      <x:c r="J129" s="254"/>
      <x:c r="K129" s="254"/>
    </x:row>
    <x:row r="130">
      <x:c r="A130" s="260" t="str">
        <x:v>Tangibility Check — Total Intangible Adjustment</x:v>
      </x:c>
      <x:c r="B130" s="112" t="n">
        <x:v>0</x:v>
      </x:c>
      <x:c r="C130" s="261" t="str">
        <x:v>₹ Cr</x:v>
      </x:c>
      <x:c r="D130" s="261" t="str">
        <x:v>FY26</x:v>
      </x:c>
      <x:c r="E130" s="262" t="str">
        <x:v>Common Equity − Tangible Common Equity</x:v>
      </x:c>
      <x:c r="F130" s="254"/>
      <x:c r="G130" s="254"/>
      <x:c r="H130" s="254"/>
      <x:c r="I130" s="254"/>
      <x:c r="J130" s="254"/>
      <x:c r="K130" s="254"/>
    </x:row>
    <x:row r="131">
      <x:c r="A131" s="260"/>
      <x:c r="B131" s="261"/>
      <x:c r="C131" s="261"/>
      <x:c r="D131" s="261"/>
      <x:c r="E131" s="262"/>
      <x:c r="F131" s="254"/>
      <x:c r="G131" s="254"/>
      <x:c r="H131" s="254"/>
      <x:c r="I131" s="254"/>
      <x:c r="J131" s="254"/>
      <x:c r="K131" s="254"/>
    </x:row>
    <x:row r="132" ht="30" customHeight="1">
      <x:c r="A132" s="85" t="str">
        <x:v>Sources: Market = https://www.screener.in/company/FEDERALBNK/ | Results = https://www.federalbank.co.in/investors/financial-results | Tangible book = standardized balance-sheet / S&amp;P Global dataset</x:v>
      </x:c>
      <x:c r="B132" s="86"/>
      <x:c r="C132" s="86"/>
      <x:c r="D132" s="86"/>
      <x:c r="E132" s="87"/>
      <x:c r="F132" s="254"/>
      <x:c r="G132" s="254"/>
      <x:c r="H132" s="254"/>
      <x:c r="I132" s="254"/>
      <x:c r="J132" s="254"/>
      <x:c r="K132" s="254"/>
    </x:row>
    <x:row r="133">
      <x:c r="A133" s="254"/>
      <x:c r="B133" s="254"/>
      <x:c r="C133" s="254"/>
      <x:c r="D133" s="254"/>
      <x:c r="E133" s="254"/>
      <x:c r="F133" s="254"/>
      <x:c r="G133" s="254"/>
      <x:c r="H133" s="254"/>
      <x:c r="I133" s="254"/>
      <x:c r="J133" s="254"/>
      <x:c r="K133" s="254"/>
    </x:row>
    <x:row r="134">
      <x:c r="A134" s="254"/>
      <x:c r="B134" s="254"/>
      <x:c r="C134" s="254"/>
      <x:c r="D134" s="254"/>
      <x:c r="E134" s="254"/>
      <x:c r="F134" s="254"/>
      <x:c r="G134" s="254"/>
      <x:c r="H134" s="254"/>
      <x:c r="I134" s="254"/>
      <x:c r="J134" s="254"/>
      <x:c r="K134" s="254"/>
    </x:row>
    <x:row r="135">
      <x:c r="A135" s="254"/>
      <x:c r="B135" s="254"/>
      <x:c r="C135" s="254"/>
      <x:c r="D135" s="254"/>
      <x:c r="E135" s="254"/>
      <x:c r="F135" s="254"/>
      <x:c r="G135" s="254"/>
      <x:c r="H135" s="254"/>
      <x:c r="I135" s="254"/>
      <x:c r="J135" s="254"/>
      <x:c r="K135" s="254"/>
    </x:row>
    <x:row r="136">
      <x:c r="A136" s="254"/>
      <x:c r="B136" s="254"/>
      <x:c r="C136" s="254"/>
      <x:c r="D136" s="254"/>
      <x:c r="E136" s="254"/>
      <x:c r="F136" s="254"/>
      <x:c r="G136" s="254"/>
      <x:c r="H136" s="254"/>
      <x:c r="I136" s="254"/>
      <x:c r="J136" s="254"/>
      <x:c r="K136" s="254"/>
    </x:row>
    <x:row r="137">
      <x:c r="A137" s="254"/>
      <x:c r="B137" s="254"/>
      <x:c r="C137" s="254"/>
      <x:c r="D137" s="254"/>
      <x:c r="E137" s="254"/>
      <x:c r="F137" s="254"/>
      <x:c r="G137" s="254"/>
      <x:c r="H137" s="254"/>
      <x:c r="I137" s="254"/>
      <x:c r="J137" s="254"/>
      <x:c r="K137" s="254"/>
    </x:row>
    <x:row r="138">
      <x:c r="A138" s="254"/>
      <x:c r="B138" s="254"/>
      <x:c r="C138" s="254"/>
      <x:c r="D138" s="254"/>
      <x:c r="E138" s="254"/>
      <x:c r="F138" s="254"/>
      <x:c r="G138" s="254"/>
      <x:c r="H138" s="254"/>
      <x:c r="I138" s="254"/>
      <x:c r="J138" s="254"/>
      <x:c r="K138" s="254"/>
    </x:row>
    <x:row r="139">
      <x:c r="A139" s="254"/>
      <x:c r="B139" s="254"/>
      <x:c r="C139" s="254"/>
      <x:c r="D139" s="254"/>
      <x:c r="E139" s="254"/>
      <x:c r="F139" s="254"/>
      <x:c r="G139" s="254"/>
      <x:c r="H139" s="254"/>
      <x:c r="I139" s="254"/>
      <x:c r="J139" s="254"/>
      <x:c r="K139" s="254"/>
    </x:row>
    <x:row r="140">
      <x:c r="A140" s="254"/>
      <x:c r="B140" s="254"/>
      <x:c r="C140" s="254"/>
      <x:c r="D140" s="254"/>
      <x:c r="E140" s="254"/>
      <x:c r="F140" s="254"/>
      <x:c r="G140" s="254"/>
      <x:c r="H140" s="254"/>
      <x:c r="I140" s="254"/>
      <x:c r="J140" s="254"/>
      <x:c r="K140" s="254"/>
    </x:row>
    <x:row r="141">
      <x:c r="A141" s="254"/>
      <x:c r="B141" s="254"/>
      <x:c r="C141" s="254"/>
      <x:c r="D141" s="254"/>
      <x:c r="E141" s="254"/>
      <x:c r="F141" s="254"/>
      <x:c r="G141" s="254"/>
      <x:c r="H141" s="254"/>
      <x:c r="I141" s="254"/>
      <x:c r="J141" s="254"/>
      <x:c r="K141" s="254"/>
    </x:row>
    <x:row r="142">
      <x:c r="A142" s="254"/>
      <x:c r="B142" s="254"/>
      <x:c r="C142" s="254"/>
      <x:c r="D142" s="254"/>
      <x:c r="E142" s="254"/>
      <x:c r="F142" s="254"/>
      <x:c r="G142" s="254"/>
      <x:c r="H142" s="254"/>
      <x:c r="I142" s="254"/>
      <x:c r="J142" s="254"/>
      <x:c r="K142" s="254"/>
    </x:row>
    <x:row r="143">
      <x:c r="A143" s="254"/>
      <x:c r="B143" s="254"/>
      <x:c r="C143" s="254"/>
      <x:c r="D143" s="254"/>
      <x:c r="E143" s="254"/>
      <x:c r="F143" s="254"/>
      <x:c r="G143" s="254"/>
      <x:c r="H143" s="254"/>
      <x:c r="I143" s="254"/>
      <x:c r="J143" s="254"/>
      <x:c r="K143" s="254"/>
    </x:row>
    <x:row r="144">
      <x:c r="A144" s="254"/>
      <x:c r="B144" s="254"/>
      <x:c r="C144" s="254"/>
      <x:c r="D144" s="254"/>
      <x:c r="E144" s="254"/>
      <x:c r="F144" s="254"/>
      <x:c r="G144" s="254"/>
      <x:c r="H144" s="254"/>
      <x:c r="I144" s="254"/>
      <x:c r="J144" s="254"/>
      <x:c r="K144" s="254"/>
    </x:row>
    <x:row r="145">
      <x:c r="A145" s="254"/>
      <x:c r="B145" s="254"/>
      <x:c r="C145" s="254"/>
      <x:c r="D145" s="254"/>
      <x:c r="E145" s="254"/>
      <x:c r="F145" s="254"/>
      <x:c r="G145" s="254"/>
      <x:c r="H145" s="254"/>
      <x:c r="I145" s="254"/>
      <x:c r="J145" s="254"/>
      <x:c r="K145" s="254"/>
    </x:row>
    <x:row r="146">
      <x:c r="A146" s="254"/>
      <x:c r="B146" s="254"/>
      <x:c r="C146" s="254"/>
      <x:c r="D146" s="254"/>
      <x:c r="E146" s="254"/>
      <x:c r="F146" s="254"/>
      <x:c r="G146" s="254"/>
      <x:c r="H146" s="254"/>
      <x:c r="I146" s="254"/>
      <x:c r="J146" s="254"/>
      <x:c r="K146" s="254"/>
    </x:row>
    <x:row r="147">
      <x:c r="A147" s="254"/>
      <x:c r="B147" s="254"/>
      <x:c r="C147" s="254"/>
      <x:c r="D147" s="254"/>
      <x:c r="E147" s="254"/>
      <x:c r="F147" s="254"/>
      <x:c r="G147" s="254"/>
      <x:c r="H147" s="254"/>
      <x:c r="I147" s="254"/>
      <x:c r="J147" s="254"/>
      <x:c r="K147" s="254"/>
    </x:row>
    <x:row r="148">
      <x:c r="A148" s="254"/>
      <x:c r="B148" s="254"/>
      <x:c r="C148" s="254"/>
      <x:c r="D148" s="254"/>
      <x:c r="E148" s="254"/>
      <x:c r="F148" s="254"/>
      <x:c r="G148" s="254"/>
      <x:c r="H148" s="254"/>
      <x:c r="I148" s="254"/>
      <x:c r="J148" s="254"/>
      <x:c r="K148" s="254"/>
    </x:row>
    <x:row r="149">
      <x:c r="A149" s="254"/>
      <x:c r="B149" s="254"/>
      <x:c r="C149" s="254"/>
      <x:c r="D149" s="254"/>
      <x:c r="E149" s="254"/>
      <x:c r="F149" s="254"/>
      <x:c r="G149" s="254"/>
      <x:c r="H149" s="254"/>
      <x:c r="I149" s="254"/>
      <x:c r="J149" s="254"/>
      <x:c r="K149" s="254"/>
    </x:row>
    <x:row r="150">
      <x:c r="A150" s="254"/>
      <x:c r="B150" s="254"/>
      <x:c r="C150" s="254"/>
      <x:c r="D150" s="254"/>
      <x:c r="E150" s="254"/>
      <x:c r="F150" s="254"/>
      <x:c r="G150" s="254"/>
      <x:c r="H150" s="254"/>
      <x:c r="I150" s="254"/>
      <x:c r="J150" s="254"/>
      <x:c r="K150" s="254"/>
    </x:row>
  </x:sheetData>
  <x:mergeCells>
    <x:mergeCell ref="A1:E1"/>
    <x:mergeCell ref="A2:E2"/>
    <x:mergeCell ref="A4:E4"/>
    <x:mergeCell ref="A30:E30"/>
    <x:mergeCell ref="A56:E56"/>
    <x:mergeCell ref="A82:E82"/>
    <x:mergeCell ref="A108:E108"/>
    <x:mergeCell ref="A28:E28"/>
    <x:mergeCell ref="A54:E54"/>
    <x:mergeCell ref="A80:E80"/>
    <x:mergeCell ref="A106:E106"/>
    <x:mergeCell ref="A132:E132"/>
  </x:mergeCells>
  <x:pageMargins left="0.7" right="0.7" top="0.75" bottom="0.75" header="0.3" footer="0.3"/>
</x:worksheet>
</file>